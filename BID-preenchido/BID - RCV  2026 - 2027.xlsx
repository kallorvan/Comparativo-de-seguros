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readedComments/threadedComment1.xml" ContentType="application/vnd.ms-excel.threaded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inamoagricola-my.sharepoint.com/personal/acampos_grupodinamo_com_br/Documents/BackupNote/Toliman/Seguros/RCV/"/>
    </mc:Choice>
  </mc:AlternateContent>
  <xr:revisionPtr revIDLastSave="31" documentId="8_{2F49D9F1-19D4-4A82-8659-9CA58E469546}" xr6:coauthVersionLast="47" xr6:coauthVersionMax="47" xr10:uidLastSave="{1755A0A5-A1C9-48B1-8EFF-D79E36F39F73}"/>
  <bookViews>
    <workbookView xWindow="28680" yWindow="-120" windowWidth="29040" windowHeight="15720" xr2:uid="{62701AD2-2DAF-41A3-A59C-AB9CF548A35F}"/>
  </bookViews>
  <sheets>
    <sheet name="BID" sheetId="2" r:id="rId1"/>
    <sheet name="COMPARATIVO SEGURADORA " sheetId="3" r:id="rId2"/>
    <sheet name="propostas" sheetId="4" r:id="rId3"/>
    <sheet name="COMPARATIVO DE FRANQUIAS" sheetId="6" r:id="rId4"/>
    <sheet name="COMPARATIVO DE FRANQUIA" sheetId="5" state="hidden" r:id="rId5"/>
  </sheets>
  <definedNames>
    <definedName name="_xlnm._FilterDatabase" localSheetId="0" hidden="1">BID!$E$2:$N$14</definedName>
    <definedName name="_xlnm._FilterDatabase" localSheetId="3" hidden="1">'COMPARATIVO DE FRANQUIAS'!#REF!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3" l="1"/>
  <c r="F12" i="3" l="1"/>
  <c r="F14" i="3" s="1"/>
  <c r="F16" i="3" s="1"/>
  <c r="L12" i="3" l="1"/>
  <c r="L11" i="3"/>
  <c r="I12" i="3"/>
  <c r="I11" i="3"/>
  <c r="C11" i="3"/>
  <c r="C12" i="3"/>
  <c r="N20" i="3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O96" i="6"/>
  <c r="O97" i="6"/>
  <c r="O98" i="6"/>
  <c r="O99" i="6"/>
  <c r="O100" i="6"/>
  <c r="O101" i="6"/>
  <c r="O102" i="6"/>
  <c r="O103" i="6"/>
  <c r="O104" i="6"/>
  <c r="O105" i="6"/>
  <c r="O106" i="6"/>
  <c r="O107" i="6"/>
  <c r="O108" i="6"/>
  <c r="O109" i="6"/>
  <c r="O110" i="6"/>
  <c r="O111" i="6"/>
  <c r="O112" i="6"/>
  <c r="O113" i="6"/>
  <c r="O114" i="6"/>
  <c r="O115" i="6"/>
  <c r="O116" i="6"/>
  <c r="O117" i="6"/>
  <c r="O118" i="6"/>
  <c r="O119" i="6"/>
  <c r="O120" i="6"/>
  <c r="O121" i="6"/>
  <c r="O122" i="6"/>
  <c r="O123" i="6"/>
  <c r="O124" i="6"/>
  <c r="O125" i="6"/>
  <c r="O126" i="6"/>
  <c r="O127" i="6"/>
  <c r="O128" i="6"/>
  <c r="O129" i="6"/>
  <c r="O130" i="6"/>
  <c r="O131" i="6"/>
  <c r="O132" i="6"/>
  <c r="O133" i="6"/>
  <c r="O134" i="6"/>
  <c r="C14" i="3" l="1"/>
  <c r="C16" i="3" s="1"/>
  <c r="L14" i="3"/>
  <c r="L16" i="3" s="1"/>
  <c r="I14" i="3"/>
  <c r="I16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ALEF</author>
  </authors>
  <commentList>
    <comment ref="J4" authorId="0" shapeId="0" xr:uid="{95A186BD-A0DB-480B-A9CC-19C36ACD9AD4}">
      <text>
        <r>
          <rPr>
            <b/>
            <sz val="9"/>
            <color indexed="81"/>
            <rFont val="Segoe UI"/>
            <family val="2"/>
          </rPr>
          <t>ALEF:</t>
        </r>
        <r>
          <rPr>
            <sz val="9"/>
            <color indexed="81"/>
            <rFont val="Segoe UI"/>
            <family val="2"/>
          </rPr>
          <t xml:space="preserve">
10% participação + rcv interessante = ressalvas </t>
        </r>
      </text>
    </comment>
    <comment ref="J6" authorId="0" shapeId="0" xr:uid="{880F052D-587E-4B69-AD8B-210B962F4BFD}">
      <text>
        <r>
          <rPr>
            <b/>
            <sz val="9"/>
            <color indexed="81"/>
            <rFont val="Segoe UI"/>
            <family val="2"/>
          </rPr>
          <t>ALEF:</t>
        </r>
        <r>
          <rPr>
            <sz val="9"/>
            <color indexed="81"/>
            <rFont val="Segoe UI"/>
            <family val="2"/>
          </rPr>
          <t xml:space="preserve">
2 milhoes apenas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tc={FA15156A-59EF-4023-8433-FCCE8D50C814}</author>
    <author>tc={F55DAE4D-EFD3-438D-A41C-D5582F06DEE4}</author>
    <author>tc={42B2A22A-BBF0-4AD7-805A-B5C0D555D202}</author>
    <author>tc={8602B04D-C43C-4842-B8BC-38173156FFD6}</author>
    <author>tc={AE78D7E3-74A3-408C-8B84-454F27F6F2E9}</author>
    <author>tc={79DE3870-E9EA-4A29-BFD5-EE57632292E3}</author>
    <author>tc={C28FDEFA-2908-4D16-B998-EBD56FF703A0}</author>
  </authors>
  <commentList>
    <comment ref="D4" authorId="0" shapeId="0" xr:uid="{FA15156A-59EF-4023-8433-FCCE8D50C81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528 mil + 264 cada gatilho
Responder:
    60% permissivel</t>
      </text>
    </comment>
    <comment ref="E4" authorId="1" shapeId="0" xr:uid="{F55DAE4D-EFD3-438D-A41C-D5582F06DEE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RCG - MAIORES COBERTURAS POREM FRANQUIA
Responder:
    E aviso 20% frota para +-
Responder:
    Cobertura Principal 01 Operações, incluindo: - Uso, existência e conservação; - Carga/Descarga (simples); - Movimentação de mercadorias (primária e subsidiária); - Obras de Manutenção; - Circulação de Equipamentos; - Contingente de veículos; - Transporte de funcionários; - Eventos; - Fornecimento de alimentos e bebidas; - Competições e Jogos; - Objetos de Empregados; - Ambulatórios Médicos e/ou Odontológicos; - Poluição; - Vazamento e Infiltração; R$ 5.000.000,00 por evento e no agregado 10% dos prejuízos apurados, com mínimo de R$ 50.000,00 por evento Cobertura Principal 02 - Empregador 20% dos prejuízos apurados, com mínimo de R$ 10.000,00 por evento Extensão de Cobertura – RCF-V – 2º Risco Em excesso à apólice primária, com mínimo de R$ 700.000,00 por evento A. Despesas Emergenciais 100% da IS De acordo com a franquia da cobertura acionada B. Custos de Defesa e Honorários C. Lucros Cessantes de terceiros/Prejuízos e Perdas Financeiras D. Brigada de Incêndio/Serviços de Segurança E. Corresponsabilidade (cruzada simples) F. Danos Morais e Estéticos G. Tumultos </t>
      </text>
    </comment>
    <comment ref="D5" authorId="2" shapeId="0" xr:uid="{42B2A22A-BBF0-4AD7-805A-B5C0D555D20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456 mil + 228 cada gatilho</t>
      </text>
    </comment>
    <comment ref="D6" authorId="3" shapeId="0" xr:uid="{8602B04D-C43C-4842-B8BC-38173156FFD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400 mil inicial / cada gatilho 200 mil</t>
      </text>
    </comment>
    <comment ref="D7" authorId="4" shapeId="0" xr:uid="{AE78D7E3-74A3-408C-8B84-454F27F6F2E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375 MIL CADA INCLUSIVE PREMIO INICIAL</t>
      </text>
    </comment>
    <comment ref="D8" authorId="5" shapeId="0" xr:uid="{79DE3870-E9EA-4A29-BFD5-EE57632292E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528 MIL + 452 CADA GATILHO
Responder:
    55% permissivel</t>
      </text>
    </comment>
    <comment ref="I8" authorId="6" shapeId="0" xr:uid="{C28FDEFA-2908-4D16-B998-EBD56FF703A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67 MIL CADA</t>
      </text>
    </comment>
  </commentList>
</comments>
</file>

<file path=xl/sharedStrings.xml><?xml version="1.0" encoding="utf-8"?>
<sst xmlns="http://schemas.openxmlformats.org/spreadsheetml/2006/main" count="1314" uniqueCount="462">
  <si>
    <t>2025-2026</t>
  </si>
  <si>
    <t>CORRETORA</t>
  </si>
  <si>
    <t>CONTATO</t>
  </si>
  <si>
    <t>SEGURADORA INDICADA</t>
  </si>
  <si>
    <t>NOMEAÇÃO</t>
  </si>
  <si>
    <t>1° RISCO</t>
  </si>
  <si>
    <t>2° RISCO</t>
  </si>
  <si>
    <t>ASSISTENCIA</t>
  </si>
  <si>
    <t>OBSERVAÇÕES</t>
  </si>
  <si>
    <t>APRESENTOU PROPOSTA</t>
  </si>
  <si>
    <t>FINAL</t>
  </si>
  <si>
    <t>INTERBROK</t>
  </si>
  <si>
    <t>JOSE R. BORELLI - TATIANE</t>
  </si>
  <si>
    <t>SURA</t>
  </si>
  <si>
    <t>AON</t>
  </si>
  <si>
    <t>GUSTAVO - RAFAEL</t>
  </si>
  <si>
    <t>MARSH</t>
  </si>
  <si>
    <t>GIRAMUNDO</t>
  </si>
  <si>
    <t>FORTE BRASIL</t>
  </si>
  <si>
    <t>ZATTAR</t>
  </si>
  <si>
    <t>ROMAP</t>
  </si>
  <si>
    <t>VALOR GLOBAL</t>
  </si>
  <si>
    <t>PARCEIRO</t>
  </si>
  <si>
    <t>$ 1 RISCO</t>
  </si>
  <si>
    <t>$ 2 RISCO</t>
  </si>
  <si>
    <t>DESCRIÇÃO DE COBERTURA</t>
  </si>
  <si>
    <t>PONDERAÇÕES</t>
  </si>
  <si>
    <t>PAGAMENTO</t>
  </si>
  <si>
    <t>$ ASSISTENCIA</t>
  </si>
  <si>
    <t>GATILHO</t>
  </si>
  <si>
    <t>ATUAL</t>
  </si>
  <si>
    <t>28/24/24/24</t>
  </si>
  <si>
    <t>CONFORME ATUAL</t>
  </si>
  <si>
    <t>REDUÇÃO 3% VALOR ANO ANTERIOR</t>
  </si>
  <si>
    <t>50/50</t>
  </si>
  <si>
    <t>NÃO</t>
  </si>
  <si>
    <t>DIVIDE EM 10X</t>
  </si>
  <si>
    <t>CONFORME RELAÇÃO</t>
  </si>
  <si>
    <t>RENOVAÇÃO</t>
  </si>
  <si>
    <t>PONDERAÇÕES 1 e 2</t>
  </si>
  <si>
    <t>GERAIS</t>
  </si>
  <si>
    <t>PROBLEMAS COM ATENDIMENTO</t>
  </si>
  <si>
    <t>40/20/20/20</t>
  </si>
  <si>
    <t>10 opções de proposta</t>
  </si>
  <si>
    <t>já incluso</t>
  </si>
  <si>
    <t>assistencia + qualidade teoricamente</t>
  </si>
  <si>
    <t>4 x</t>
  </si>
  <si>
    <t>se trata do grupo HDI</t>
  </si>
  <si>
    <t>SEM GATILHO</t>
  </si>
  <si>
    <t>voltar</t>
  </si>
  <si>
    <t>C/GATILHO 24 MESES</t>
  </si>
  <si>
    <t>ajustar onibus / ajustar moto clausula 112 / $ equipamentos tracker / separar sinistralidade do % sinistros avarias x assistencia / material assistencia</t>
  </si>
  <si>
    <t>3 MILHÕES</t>
  </si>
  <si>
    <t>AON - REPIQUE</t>
  </si>
  <si>
    <t>GATILHO 70/15/15</t>
  </si>
  <si>
    <t>10 x</t>
  </si>
  <si>
    <t>R$     2 .200 milhoes</t>
  </si>
  <si>
    <t>HDI SEGUROS</t>
  </si>
  <si>
    <t>98PTTH430NB126947</t>
  </si>
  <si>
    <t>SHB1I70</t>
  </si>
  <si>
    <t>DAF XF FTT530 6x4 Super Space Cab (die)(E5)</t>
  </si>
  <si>
    <t>DAF/XF FTT 530 SSC</t>
  </si>
  <si>
    <t>DAF</t>
  </si>
  <si>
    <t>Operacional</t>
  </si>
  <si>
    <t>SUL MINEIRO (POUSO ALEGRE)</t>
  </si>
  <si>
    <t>TOLIMAN (95%) SÓCIOS/GRUPO (5%)</t>
  </si>
  <si>
    <t>98PTTH430NB125823</t>
  </si>
  <si>
    <t>RUL2E93</t>
  </si>
  <si>
    <t>8AJDA3CD4R1841324</t>
  </si>
  <si>
    <t>TCB0G29</t>
  </si>
  <si>
    <t>TOYOTA Hilux CD 4X4 2.8  4P (DIESEL)</t>
  </si>
  <si>
    <t>HILUX CD 4x4 2.8 DIESEL MEC.</t>
  </si>
  <si>
    <t>TOYOTA</t>
  </si>
  <si>
    <t>Admistrativo</t>
  </si>
  <si>
    <t>Agregado</t>
  </si>
  <si>
    <t>9BSR6X400R4048307</t>
  </si>
  <si>
    <t>GHB6D41</t>
  </si>
  <si>
    <t>SCANIA R-540 A 6x4 2p (diesel)(E5)</t>
  </si>
  <si>
    <t>SCANIA/R540 A6X4</t>
  </si>
  <si>
    <t>SCANIA</t>
  </si>
  <si>
    <t>9BSR6X400R4050579</t>
  </si>
  <si>
    <t>FYC3G31</t>
  </si>
  <si>
    <t>9BSR6X400R4050563</t>
  </si>
  <si>
    <t>FWZ5G92</t>
  </si>
  <si>
    <t>9BSR6X400R4048357</t>
  </si>
  <si>
    <t>FVH3B53</t>
  </si>
  <si>
    <t>9BSR6X400R4048370</t>
  </si>
  <si>
    <t>FUC5J04</t>
  </si>
  <si>
    <t>9BSR6X400R4050570</t>
  </si>
  <si>
    <t>FDU1C53</t>
  </si>
  <si>
    <t>9BSR6X400R4048355</t>
  </si>
  <si>
    <t>CVN6G45</t>
  </si>
  <si>
    <t>9BSR6X400R4048348</t>
  </si>
  <si>
    <t>CUP6A97</t>
  </si>
  <si>
    <t>9BSR6X400R4048290</t>
  </si>
  <si>
    <t>CUP2J19</t>
  </si>
  <si>
    <t>9BSR6X400R4048569</t>
  </si>
  <si>
    <t>CUP2J18</t>
  </si>
  <si>
    <t>9BSG6X400B3682272</t>
  </si>
  <si>
    <t>EPU9H69</t>
  </si>
  <si>
    <t>SCANIA G-420 A 6x4 2p</t>
  </si>
  <si>
    <t>SCANIA G420 A6X4</t>
  </si>
  <si>
    <t>9BSG6X400B3682344</t>
  </si>
  <si>
    <t>EPU9780</t>
  </si>
  <si>
    <t>9BSG6X400B3682016</t>
  </si>
  <si>
    <t>EPU9671</t>
  </si>
  <si>
    <t>9BSG6X400B3682278</t>
  </si>
  <si>
    <t>EPU9218</t>
  </si>
  <si>
    <t>9BSG6X400B3682329</t>
  </si>
  <si>
    <t>EPU9215</t>
  </si>
  <si>
    <t>9BSG6X400B3682393</t>
  </si>
  <si>
    <t>EPU9214</t>
  </si>
  <si>
    <t>9BSG6X400B3682327</t>
  </si>
  <si>
    <t>EPU9212 </t>
  </si>
  <si>
    <t>9539K8TJ3RR200900</t>
  </si>
  <si>
    <t>SJJ5A33</t>
  </si>
  <si>
    <t>VOLKSWAGEN Meteor 29.530 6x4 2p (diesel)(E6)</t>
  </si>
  <si>
    <t>VW/29.530 MTM 6X4</t>
  </si>
  <si>
    <t>VOLKSWAGEM</t>
  </si>
  <si>
    <t>9539K8TJ4RR200792</t>
  </si>
  <si>
    <t>SJJ5A11</t>
  </si>
  <si>
    <t>9539K8TJ4RR200825</t>
  </si>
  <si>
    <t>SJJ4A77</t>
  </si>
  <si>
    <t>9539K8TJ3RR200881</t>
  </si>
  <si>
    <t>SJJ4A33</t>
  </si>
  <si>
    <t>9539K8TJ1RR200880</t>
  </si>
  <si>
    <t>SJJ3A77</t>
  </si>
  <si>
    <t>9539K8TJ1RR200846</t>
  </si>
  <si>
    <t>SJJ1A77</t>
  </si>
  <si>
    <t>9539K8TJ2RR200841</t>
  </si>
  <si>
    <t>SJJ1A55</t>
  </si>
  <si>
    <t>9539K8TJ2RR200838</t>
  </si>
  <si>
    <t>SJJ0A55</t>
  </si>
  <si>
    <t>9539K8TJ3RR200802</t>
  </si>
  <si>
    <t>SJJ0A33</t>
  </si>
  <si>
    <t>9539K8TJ4RR200775</t>
  </si>
  <si>
    <t>SJJ0A11</t>
  </si>
  <si>
    <t>9539K8TJXRR200666</t>
  </si>
  <si>
    <t>SEP1B19</t>
  </si>
  <si>
    <t>9539K8TJXRR200036</t>
  </si>
  <si>
    <t>SEP1B09</t>
  </si>
  <si>
    <t>9BSR6X400K3952736</t>
  </si>
  <si>
    <t>QQV4565</t>
  </si>
  <si>
    <t>SCANIA R540 A6X4</t>
  </si>
  <si>
    <t>VOLVO</t>
  </si>
  <si>
    <t>9BSR6X400K3952462</t>
  </si>
  <si>
    <t>QQV4562</t>
  </si>
  <si>
    <t>9BSR6X400K3952604</t>
  </si>
  <si>
    <t>QQV4560</t>
  </si>
  <si>
    <t>9BSR6X400K3952709</t>
  </si>
  <si>
    <t>QQV4559</t>
  </si>
  <si>
    <t>9BSR6X400J3939070</t>
  </si>
  <si>
    <t>FKS7G89</t>
  </si>
  <si>
    <t>SCANIA R-510 A 6x4 HIGHLINE 2p (diesel)(E5)</t>
  </si>
  <si>
    <t>SCANIA R510 A6X4</t>
  </si>
  <si>
    <t>9BVRG40D9LE868630</t>
  </si>
  <si>
    <t>QQV4574</t>
  </si>
  <si>
    <t>VOLVO FH-540 GLOBETROTTER 6x4 2p (diesel) (E5)</t>
  </si>
  <si>
    <t>VOLVO FH 540 6X4T</t>
  </si>
  <si>
    <t>9BVRG40D3LE867523</t>
  </si>
  <si>
    <t>QQV4571</t>
  </si>
  <si>
    <t>9BVRG40D6LE867524</t>
  </si>
  <si>
    <t>QQV4567</t>
  </si>
  <si>
    <t>9BVRG40D1LE867970</t>
  </si>
  <si>
    <t>QQS9992</t>
  </si>
  <si>
    <t>VW/29.530</t>
  </si>
  <si>
    <t>9BVRG40D5LE868035</t>
  </si>
  <si>
    <t>QQS9985</t>
  </si>
  <si>
    <t>9BVRG40D6LE868039</t>
  </si>
  <si>
    <t>QQS9968</t>
  </si>
  <si>
    <t>9BVRG40D2LE867906</t>
  </si>
  <si>
    <t>QQS9957</t>
  </si>
  <si>
    <t>9BVRG40D7LE867904</t>
  </si>
  <si>
    <t>QQS9947</t>
  </si>
  <si>
    <t>9BVRG40DXLE867905</t>
  </si>
  <si>
    <t>QQS9920</t>
  </si>
  <si>
    <t>9BVRG40D8LE868036</t>
  </si>
  <si>
    <t>QQS9917</t>
  </si>
  <si>
    <t>9BVRG40D0LE868037</t>
  </si>
  <si>
    <t>QQS9913</t>
  </si>
  <si>
    <t>9BVRG40D5LE868040</t>
  </si>
  <si>
    <t>QQS9874</t>
  </si>
  <si>
    <t>9BVRG40DXLE866622</t>
  </si>
  <si>
    <t>QQM9286</t>
  </si>
  <si>
    <t>9BVRG40D7LE866433</t>
  </si>
  <si>
    <t>QQM9284</t>
  </si>
  <si>
    <t>9BVRG40D0LE865939</t>
  </si>
  <si>
    <t>QQM6923</t>
  </si>
  <si>
    <t>9BVRG40D4LE866367</t>
  </si>
  <si>
    <t>QQM6918</t>
  </si>
  <si>
    <t>9BSR6X4000G3SS6460</t>
  </si>
  <si>
    <t>FBY8025</t>
  </si>
  <si>
    <t>SCANIA R-480 A 6x4 HIGHLINE 2p (diesel) (E5)</t>
  </si>
  <si>
    <t>SCANIA R480 A6X4</t>
  </si>
  <si>
    <t>9BVRG40D1KE865292</t>
  </si>
  <si>
    <t>QQH9893</t>
  </si>
  <si>
    <t>SCANIA/R540</t>
  </si>
  <si>
    <t>9BVRG40D2KE865361</t>
  </si>
  <si>
    <t>QQH9891</t>
  </si>
  <si>
    <t>9BVRG40D4KE865293</t>
  </si>
  <si>
    <t>QQH9889</t>
  </si>
  <si>
    <t>9BVRG40D7KE865294</t>
  </si>
  <si>
    <t>QQH9886</t>
  </si>
  <si>
    <t>9BVRG40D9KE865291</t>
  </si>
  <si>
    <t>QQH9880</t>
  </si>
  <si>
    <t>9BVRG40D5KE865362</t>
  </si>
  <si>
    <t>QQH9872</t>
  </si>
  <si>
    <t>9BVRG40DXKE865360</t>
  </si>
  <si>
    <t>QQH9801</t>
  </si>
  <si>
    <t>9BVRG40DXKE865295</t>
  </si>
  <si>
    <t>QQH9797</t>
  </si>
  <si>
    <t>9BVRG40D4KE859615</t>
  </si>
  <si>
    <t>QPE9423</t>
  </si>
  <si>
    <t>9BVRG40D7KE859616</t>
  </si>
  <si>
    <t>QPE9420</t>
  </si>
  <si>
    <t>9BVRG40D4KE859077</t>
  </si>
  <si>
    <t>QPE7760</t>
  </si>
  <si>
    <t>9BVRG40DXKE859079</t>
  </si>
  <si>
    <t>QPE7756</t>
  </si>
  <si>
    <t>9BVRG40D4KE859082</t>
  </si>
  <si>
    <t>QPE7749</t>
  </si>
  <si>
    <t>9BVRG40D1KE859076</t>
  </si>
  <si>
    <t>QPE7737</t>
  </si>
  <si>
    <t>9BVRG40D1KE859081</t>
  </si>
  <si>
    <t>QPE7727</t>
  </si>
  <si>
    <t>9BVRG40D7KE859078</t>
  </si>
  <si>
    <t>QPE7720</t>
  </si>
  <si>
    <t>9BVRG40D7KE859083</t>
  </si>
  <si>
    <t>QPE7654</t>
  </si>
  <si>
    <t>9BSR6X400E3854961</t>
  </si>
  <si>
    <t>PUI8161</t>
  </si>
  <si>
    <t>SCANIA R-440 A 6X4 2P (DIESEL) (E5)</t>
  </si>
  <si>
    <t>SCANIA R440 A6X4</t>
  </si>
  <si>
    <t>9BSR6X400E3853012</t>
  </si>
  <si>
    <t>FSJ6E88</t>
  </si>
  <si>
    <t>9BSR6X400E3853007</t>
  </si>
  <si>
    <t>FRD5A56</t>
  </si>
  <si>
    <t>9BSR6X400E3853030</t>
  </si>
  <si>
    <t>FQX2B92</t>
  </si>
  <si>
    <t>9BSR6X400E3853035</t>
  </si>
  <si>
    <t>FQV9F94</t>
  </si>
  <si>
    <t>9BVRG40DXME885806</t>
  </si>
  <si>
    <t>RFE9G80</t>
  </si>
  <si>
    <t>9BVRG40D6ME885715</t>
  </si>
  <si>
    <t>RFE9G74</t>
  </si>
  <si>
    <t>9BVRG40D2ME885807</t>
  </si>
  <si>
    <t>RFE9G71</t>
  </si>
  <si>
    <t>9BVRG40D8ME885712</t>
  </si>
  <si>
    <t>RFE3G43</t>
  </si>
  <si>
    <t>9BVRG40D3ME885714</t>
  </si>
  <si>
    <t>RFE3G38</t>
  </si>
  <si>
    <t>9BVRG40D0ME885713</t>
  </si>
  <si>
    <t>RFE3G34</t>
  </si>
  <si>
    <t>9BVRG40D5ME885711</t>
  </si>
  <si>
    <t>RFE3G32</t>
  </si>
  <si>
    <t>9BVRG40D1ME885678</t>
  </si>
  <si>
    <t>RFE3D49</t>
  </si>
  <si>
    <t>9BVRG40D2ME885828</t>
  </si>
  <si>
    <t>RFE3D42</t>
  </si>
  <si>
    <t>9BVRG40D4ME885679</t>
  </si>
  <si>
    <t>RFE3D31</t>
  </si>
  <si>
    <t>9BVRG40D6ME885681</t>
  </si>
  <si>
    <t>RFE3D23</t>
  </si>
  <si>
    <t>9BVRG40D9ME885682</t>
  </si>
  <si>
    <t>RFE2C94</t>
  </si>
  <si>
    <t>9BVRG40D3ME885492</t>
  </si>
  <si>
    <t>RFC9B70</t>
  </si>
  <si>
    <t>9BVRG40D9ME885528</t>
  </si>
  <si>
    <t>RFC9B69</t>
  </si>
  <si>
    <t>9BVRG40D9ME885489</t>
  </si>
  <si>
    <t>RFC9B68</t>
  </si>
  <si>
    <t>9BVRG0D1ME885529</t>
  </si>
  <si>
    <t>RFC9B67</t>
  </si>
  <si>
    <t>9BVRG40D0ME885491</t>
  </si>
  <si>
    <t>RFC9B65</t>
  </si>
  <si>
    <t>9BVRG40D6ME885527</t>
  </si>
  <si>
    <t>RFC9B61</t>
  </si>
  <si>
    <t>9BVRG40D8ME885490</t>
  </si>
  <si>
    <t>RFC9B58</t>
  </si>
  <si>
    <t>9BVRG40D0ME885379</t>
  </si>
  <si>
    <t>RFC8J66</t>
  </si>
  <si>
    <t>9BSR6X400D3841139</t>
  </si>
  <si>
    <t>FEI4D16</t>
  </si>
  <si>
    <t>9BSR6X400D3841185</t>
  </si>
  <si>
    <t>FEI4317</t>
  </si>
  <si>
    <t>9BSR6X400D3841118</t>
  </si>
  <si>
    <t>FEI4315</t>
  </si>
  <si>
    <t>9BSR6X400D3841113</t>
  </si>
  <si>
    <t>FEI4314</t>
  </si>
  <si>
    <t>9BWYTAGF5RDB82139</t>
  </si>
  <si>
    <t>BZI2231</t>
  </si>
  <si>
    <t>VOLKSWAGEN 16170 2P Diesel</t>
  </si>
  <si>
    <t>VOLKSWAGEN/CAMINHÃO 16170</t>
  </si>
  <si>
    <t>9BVAS02D1BE784249</t>
  </si>
  <si>
    <t>NXZ9706</t>
  </si>
  <si>
    <t>VOLVO FH 440 6X4 2P (DIESEL)</t>
  </si>
  <si>
    <t>VOLVO FH 440 6X4T</t>
  </si>
  <si>
    <t>9BVAS02D7BE785020</t>
  </si>
  <si>
    <t>NXZ9702</t>
  </si>
  <si>
    <t>SALLMAM249A300560</t>
  </si>
  <si>
    <t>EKY4842</t>
  </si>
  <si>
    <t>LAND ROVER RANGE ROVER VOUGUE 3.6 TDV8 272CV DIESEL</t>
  </si>
  <si>
    <t>RANGE ROVER VOGUE 3.6 TDV8 272CV DIESEL</t>
  </si>
  <si>
    <t>LAND ROVER</t>
  </si>
  <si>
    <t>9C6SG8610S0001791</t>
  </si>
  <si>
    <t>TLU2B40</t>
  </si>
  <si>
    <t>YAMAHA XMAX 250 CONNECTED</t>
  </si>
  <si>
    <t>XMAX 250 ABS</t>
  </si>
  <si>
    <t>YAMAHA</t>
  </si>
  <si>
    <t>IGUAL</t>
  </si>
  <si>
    <t>9BM384088VB117958</t>
  </si>
  <si>
    <t>BTA4A99</t>
  </si>
  <si>
    <t>MERCEDES BENZ ONIBUS OF 1318</t>
  </si>
  <si>
    <t>MERCEDES BENZ/ÔNIBUS OF 1318</t>
  </si>
  <si>
    <t>MERCEDES BENZ</t>
  </si>
  <si>
    <t>HDI</t>
  </si>
  <si>
    <t>9BWAB05U4CP043459</t>
  </si>
  <si>
    <t>EVZ8871</t>
  </si>
  <si>
    <t>VOLKSWAGEN GOL 1.6 MI TOTAL FLEX 8V 4P</t>
  </si>
  <si>
    <t xml:space="preserve">VOLKSWAGEN/GOL 1.0 </t>
  </si>
  <si>
    <t>9BWAB05U6CP044600</t>
  </si>
  <si>
    <t>EVZ8837</t>
  </si>
  <si>
    <t xml:space="preserve">VOLKSWAGEN/GOL 1.6 </t>
  </si>
  <si>
    <t>WBAFR7105CC948997</t>
  </si>
  <si>
    <t>EYT3717</t>
  </si>
  <si>
    <t>BMW 535iA 3.0 24CV 306CV BI TURBO</t>
  </si>
  <si>
    <t>535iA 3.0 24cv 306cv Bi-Turbo</t>
  </si>
  <si>
    <t>BMW</t>
  </si>
  <si>
    <t>9BWKB45U9HP056873</t>
  </si>
  <si>
    <t>GDU5232</t>
  </si>
  <si>
    <t>VOLKSWAGEN SAVEIRO TRENDLINE 1.6 T.FLEX 8V</t>
  </si>
  <si>
    <t>VW/NOVA SAVEIRO TL MBVS 1.6</t>
  </si>
  <si>
    <t>93XLNKB8TJCH32210</t>
  </si>
  <si>
    <t>NXS0C84</t>
  </si>
  <si>
    <t>MITSUBISHI L200 Triton GL 3.2 CD TB Int. Dies. Mec.</t>
  </si>
  <si>
    <t>MMC/L200 TRITON GL D</t>
  </si>
  <si>
    <t>MITSUBISHI</t>
  </si>
  <si>
    <t>WBA71DP09N9J34546</t>
  </si>
  <si>
    <t>EUV2H26</t>
  </si>
  <si>
    <t>BMW X3 XDRIVE 30e M SP Launch Ed. TB HÃÂ­brido</t>
  </si>
  <si>
    <t>BMW X3 HYBRIDO</t>
  </si>
  <si>
    <t>9882261SHNKE10418</t>
  </si>
  <si>
    <t>RNH4B48</t>
  </si>
  <si>
    <t>FIAT TORO VOLCANO 2.0 16V 4X4 TB DIESEL AUT</t>
  </si>
  <si>
    <t>FIAT TORO</t>
  </si>
  <si>
    <t>FIAT</t>
  </si>
  <si>
    <t>9BRBD3HE8K0422821</t>
  </si>
  <si>
    <t>QPZ6464</t>
  </si>
  <si>
    <t>TOYOTA COROLLA XEi 2.0 FLEX 16V AUT.</t>
  </si>
  <si>
    <t>TOYOTA/COROLLA Xei 2.0 FLEX</t>
  </si>
  <si>
    <t>9BWKB05U4BP128367</t>
  </si>
  <si>
    <t>ERU4309</t>
  </si>
  <si>
    <t>VOLKSWAGEN SAVEIRO 1.6MI TOTAL FLEX 8V</t>
  </si>
  <si>
    <t>VOLKSWAGEN/SAVEIRO 1.6</t>
  </si>
  <si>
    <t>9BWAL5BZXJP083472</t>
  </si>
  <si>
    <t>GID9563</t>
  </si>
  <si>
    <t>VOLKSWAGEN Polo 1.6 MSI Flex 16V 5p</t>
  </si>
  <si>
    <t>VOLKSWAGEN/POLO</t>
  </si>
  <si>
    <t>9BD27803MA7241010</t>
  </si>
  <si>
    <t>HES4120</t>
  </si>
  <si>
    <t>FIAT STRADA 1.4 MPI FIRE FLEX 8V CE</t>
  </si>
  <si>
    <t>FIAT/STRADA FIRE FLEX</t>
  </si>
  <si>
    <t>9BD255049C8921666</t>
  </si>
  <si>
    <t>HES4739</t>
  </si>
  <si>
    <t>FIAT FIORINO FURG+O 1.3 FIRE FLEX</t>
  </si>
  <si>
    <t>FIAT/FIORINO FLEX</t>
  </si>
  <si>
    <t>98867512MPKM44383</t>
  </si>
  <si>
    <t>STT6B28</t>
  </si>
  <si>
    <t>JEEP COMPASS LONG. T270 1.3 TB 4x2 Flex Aut.</t>
  </si>
  <si>
    <t>JEEP COMPASS LONGITUDE TF</t>
  </si>
  <si>
    <t>JEEP</t>
  </si>
  <si>
    <t>9BROOBOP1022315</t>
  </si>
  <si>
    <t>BIW9C32</t>
  </si>
  <si>
    <t>TOYOTA BANDEIRANTE PICK-UP 4X4 CHASSI CURTO 3.7 (DIESEL)</t>
  </si>
  <si>
    <t>TOYOTA BANDEIRANTE</t>
  </si>
  <si>
    <t>93KP0E0C8BE131263</t>
  </si>
  <si>
    <t>HOK5397</t>
  </si>
  <si>
    <t>VOLVO VM 260 6X2 2P (DIESEL)</t>
  </si>
  <si>
    <t>VOLVO VM 260 ED - MULTIEIXO</t>
  </si>
  <si>
    <t>WF0DXXTBFBTC28820</t>
  </si>
  <si>
    <t>EVI4366</t>
  </si>
  <si>
    <t>FORD TRANSIT VAN 350 2.4 TDCI 14LUG DIESEL</t>
  </si>
  <si>
    <t>I/FORD TRANSIT 350L BUS</t>
  </si>
  <si>
    <t>FORD</t>
  </si>
  <si>
    <t>8AC9036129E019356</t>
  </si>
  <si>
    <t>EKY3101</t>
  </si>
  <si>
    <t>MERCEDES BENZ SPRINTER 311 CHASSI 2.2 109CV DIESEL</t>
  </si>
  <si>
    <t>I/M.BENZ 311CDI STREET C</t>
  </si>
  <si>
    <t>8AC690311WA515149</t>
  </si>
  <si>
    <t>BTR1538</t>
  </si>
  <si>
    <t>MERCEDES BENZ SPRINTER 310-D 2.5 FURGAO (TETO BAIXO) DIESEL</t>
  </si>
  <si>
    <t>IMP/MBENZ 310D SPRINTERC</t>
  </si>
  <si>
    <t>?</t>
  </si>
  <si>
    <t>WDBGA76W8SA249612</t>
  </si>
  <si>
    <t>CBA0014</t>
  </si>
  <si>
    <t>MERCEDES BENZ S 600 W CLASSIC 6.0  4P</t>
  </si>
  <si>
    <t>S-600 L/ L CLASSIC/ WAGON CLASSIC 6.0</t>
  </si>
  <si>
    <t>SALWA2FK9HA683469</t>
  </si>
  <si>
    <t>PZS1705</t>
  </si>
  <si>
    <t>LAND ROVER RANGE ROVER Sport HSE 3.0 TDV6 Diesel</t>
  </si>
  <si>
    <t>RANGE ROVER SPORT HSE 3.0 TDV6 DIESEL</t>
  </si>
  <si>
    <t>WBA5B1103FD694802</t>
  </si>
  <si>
    <t>FSX9458</t>
  </si>
  <si>
    <t>BMW 535IA M SPORT 3.0 24V 306CV BI-TURBO</t>
  </si>
  <si>
    <t>535iA M Sport 3.0 24V 306cv Bi-Turbo</t>
  </si>
  <si>
    <t>MPBAR2F12RX621043</t>
  </si>
  <si>
    <t>TJX4E42</t>
  </si>
  <si>
    <t>FORD Ranger Raptor 3.0 V6 Bi-Turbo 4WD AUT.</t>
  </si>
  <si>
    <t>RANGER RAPTOR 3.0 V6 BI-TURBO 4WD AUT.</t>
  </si>
  <si>
    <t>SAL1A2B40SA431876</t>
  </si>
  <si>
    <t>TIU1H05</t>
  </si>
  <si>
    <t>LAND ROVER Range R. Sport Autobio. 3.0 P550e (Híb.)</t>
  </si>
  <si>
    <t>I/LR RRS PHEV AB</t>
  </si>
  <si>
    <t>HDI OU SURA</t>
  </si>
  <si>
    <t>DIFERENÇA FRANQUIA</t>
  </si>
  <si>
    <t>FRANQUIA INTERBROK - SURA</t>
  </si>
  <si>
    <t>FRANQUIA AON-HDI</t>
  </si>
  <si>
    <t>COD FIPE</t>
  </si>
  <si>
    <t>CHASSI</t>
  </si>
  <si>
    <t>PLACA</t>
  </si>
  <si>
    <t>MOD</t>
  </si>
  <si>
    <t>ANO</t>
  </si>
  <si>
    <t>MODELO (SEGURADORA)</t>
  </si>
  <si>
    <t>MODELO</t>
  </si>
  <si>
    <t>MARCA</t>
  </si>
  <si>
    <t>SETOR</t>
  </si>
  <si>
    <t>CEP FISCAL
OU ITEM A ITEM</t>
  </si>
  <si>
    <t>PROPRIETÁRIO</t>
  </si>
  <si>
    <t>ITEM</t>
  </si>
  <si>
    <t>D A D O S     D O S     V E I C U L O S</t>
  </si>
  <si>
    <t>AON X INTERBROK</t>
  </si>
  <si>
    <t>25/25/25/25</t>
  </si>
  <si>
    <t>DIFERENÇA</t>
  </si>
  <si>
    <r>
      <rPr>
        <b/>
        <sz val="20"/>
        <color theme="1"/>
        <rFont val="Calibri"/>
        <family val="2"/>
        <scheme val="minor"/>
      </rPr>
      <t>BVIX</t>
    </r>
    <r>
      <rPr>
        <sz val="20"/>
        <color theme="1"/>
        <rFont val="Calibri"/>
        <family val="2"/>
        <scheme val="minor"/>
      </rPr>
      <t xml:space="preserve"> - CENARIO ATUAL 1° RISCO + 2° RISCO + ASSITENCIA</t>
    </r>
  </si>
  <si>
    <r>
      <rPr>
        <b/>
        <sz val="20"/>
        <color theme="1"/>
        <rFont val="Calibri"/>
        <family val="2"/>
        <scheme val="minor"/>
      </rPr>
      <t>EZZE</t>
    </r>
    <r>
      <rPr>
        <sz val="20"/>
        <color theme="1"/>
        <rFont val="Calibri"/>
        <family val="2"/>
        <scheme val="minor"/>
      </rPr>
      <t xml:space="preserve"> - ASSITENCIA + 1° RISCO</t>
    </r>
  </si>
  <si>
    <r>
      <rPr>
        <b/>
        <sz val="20"/>
        <color theme="1"/>
        <rFont val="Calibri"/>
        <family val="2"/>
        <scheme val="minor"/>
      </rPr>
      <t>BRADESCO</t>
    </r>
    <r>
      <rPr>
        <sz val="20"/>
        <color theme="1"/>
        <rFont val="Calibri"/>
        <family val="2"/>
        <scheme val="minor"/>
      </rPr>
      <t xml:space="preserve"> - ASSITENCIA + 1° RISCO</t>
    </r>
  </si>
  <si>
    <r>
      <rPr>
        <b/>
        <sz val="20"/>
        <color theme="1"/>
        <rFont val="Calibri"/>
        <family val="2"/>
        <scheme val="minor"/>
      </rPr>
      <t>PORTO SEG. -</t>
    </r>
    <r>
      <rPr>
        <sz val="20"/>
        <color theme="1"/>
        <rFont val="Calibri"/>
        <family val="2"/>
        <scheme val="minor"/>
      </rPr>
      <t xml:space="preserve"> CASCO 80% ENTRE OUTROS PONTOS QUE NÃO ACATM NOSSA REALIDADE</t>
    </r>
  </si>
  <si>
    <r>
      <rPr>
        <b/>
        <sz val="20"/>
        <color theme="1"/>
        <rFont val="Calibri"/>
        <family val="2"/>
        <scheme val="minor"/>
      </rPr>
      <t>GENTE SEG -</t>
    </r>
    <r>
      <rPr>
        <sz val="20"/>
        <color theme="1"/>
        <rFont val="Calibri"/>
        <family val="2"/>
        <scheme val="minor"/>
      </rPr>
      <t xml:space="preserve"> ASSITENCIA + 1° RISCO</t>
    </r>
  </si>
  <si>
    <t>INTERBROK - REPIQUE 2</t>
  </si>
  <si>
    <t>INTERBROK - REPIQUE 3</t>
  </si>
  <si>
    <t>aumentou 55% para 60% sinistralidade</t>
  </si>
  <si>
    <t>2° COMPARATIVO</t>
  </si>
  <si>
    <t>3° COMPARATIVO</t>
  </si>
  <si>
    <t>REPIQUE - 2 risco cobertura menor - franquia pesados pouco menor - franquia passeio maior</t>
  </si>
  <si>
    <t>4 ° COMPARATIVO</t>
  </si>
  <si>
    <t xml:space="preserve">Definir a opção desejada controlar assistencia ou consolidar ? </t>
  </si>
  <si>
    <t>1 ° COMPARATIVO</t>
  </si>
  <si>
    <t>COM ASSISTENCIA e 60% SINISTRALIDADE</t>
  </si>
  <si>
    <t>FRANQUIA DE PESADO POUCO MAIS CARA - FRANQUIA LEVE MAIS BARATA - MELHOR COBERTURA  2° RISCO - OPÇÃO DE TRATAR ASSISTENCIA SEPRADO NO GATILHO</t>
  </si>
  <si>
    <t xml:space="preserve">FRANQUIA DE PESADO POUCO MAIS BARATA - FRANQUIA LEVE MAIS CARA - COBERTURA  2° RISCO MENOR - TER GATILHO NA ASISTENCIA </t>
  </si>
  <si>
    <t>RENOVAÇÃO ja conhecemos o trabalho</t>
  </si>
  <si>
    <t>Ronal</t>
  </si>
  <si>
    <t>GALLAGHER</t>
  </si>
  <si>
    <t>ALPER SEGUROS</t>
  </si>
  <si>
    <t>F A SEGUROS</t>
  </si>
  <si>
    <t>Giuseppe</t>
  </si>
  <si>
    <t>VIVIANE</t>
  </si>
  <si>
    <t>ANDRE HANNICKEL</t>
  </si>
  <si>
    <t>Essor Seguradora            Akad Seguros</t>
  </si>
  <si>
    <t>Seguradora HDI              Akad Seguros</t>
  </si>
  <si>
    <t xml:space="preserve">
 Sura (Detentora do RCF-V)
Fairfax
Axa
Sompo</t>
  </si>
  <si>
    <t>1. Sompo Seguros S/A
2. Akad Seguros S/A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</si>
</sst>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_(* #,##0.00_);_(* \(#,##0.00\);_(* &quot;-&quot;??_);_(@_)"/>
    <numFmt numFmtId="165" formatCode="_-[$R$-416]\ * #,##0.00_-;\-[$R$-416]\ * #,##0.00_-;_-[$R$-416]\ * &quot;-&quot;??_-;_-@_-"/>
    <numFmt numFmtId="166" formatCode="&quot;R$&quot;\ #,##0.00"/>
    <numFmt numFmtId="167" formatCode="0_)"/>
    <numFmt numFmtId="168" formatCode="000000000\-00"/>
  </numFmts>
  <fonts count="29" x14ac:knownFonts="1">
    <font>
      <sz val="11"/>
      <color theme="1"/>
      <name val="Calibri"/>
      <family val="2"/>
      <scheme val="minor"/>
    </font>
    <font>
      <b/>
      <sz val="16"/>
      <color rgb="FF000000"/>
      <name val="Arial"/>
      <family val="2"/>
    </font>
    <font>
      <b/>
      <sz val="18"/>
      <color rgb="FFFF0000"/>
      <name val="Arial"/>
      <family val="2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name val="Arial"/>
      <family val="2"/>
    </font>
    <font>
      <b/>
      <sz val="22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i/>
      <sz val="16"/>
      <color theme="1"/>
      <name val="Arial"/>
      <family val="2"/>
    </font>
    <font>
      <b/>
      <i/>
      <sz val="16"/>
      <color rgb="FF000000"/>
      <name val="Arial"/>
      <family val="2"/>
    </font>
    <font>
      <b/>
      <sz val="16"/>
      <color theme="1"/>
      <name val="Arial"/>
      <family val="2"/>
    </font>
    <font>
      <b/>
      <sz val="16"/>
      <color rgb="FFFF0000"/>
      <name val="Arial"/>
      <family val="2"/>
    </font>
    <font>
      <b/>
      <sz val="11"/>
      <color theme="1"/>
      <name val="Calibri"/>
      <family val="2"/>
      <scheme val="minor"/>
    </font>
    <font>
      <b/>
      <sz val="16"/>
      <name val="Arial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i/>
      <sz val="16"/>
      <name val="Arial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ADLaM Display"/>
    </font>
    <font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28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ashed">
        <color theme="0" tint="-0.24994659260841701"/>
      </left>
      <right/>
      <top style="dashed">
        <color theme="0" tint="-0.24994659260841701"/>
      </top>
      <bottom style="dashed">
        <color theme="0" tint="-0.24994659260841701"/>
      </bottom>
      <diagonal/>
    </border>
    <border>
      <left style="dashed">
        <color theme="0" tint="-0.24994659260841701"/>
      </left>
      <right style="dashed">
        <color theme="0" tint="-0.24994659260841701"/>
      </right>
      <top style="dashed">
        <color theme="0" tint="-0.24994659260841701"/>
      </top>
      <bottom style="dashed">
        <color theme="0" tint="-0.24994659260841701"/>
      </bottom>
      <diagonal/>
    </border>
    <border>
      <left style="dashed">
        <color theme="0" tint="-0.24994659260841701"/>
      </left>
      <right/>
      <top/>
      <bottom/>
      <diagonal/>
    </border>
    <border>
      <left style="dashed">
        <color theme="0" tint="-0.24994659260841701"/>
      </left>
      <right style="dashed">
        <color theme="0" tint="-0.24994659260841701"/>
      </right>
      <top/>
      <bottom/>
      <diagonal/>
    </border>
    <border>
      <left style="dashed">
        <color theme="0" tint="-0.24994659260841701"/>
      </left>
      <right/>
      <top style="double">
        <color indexed="64"/>
      </top>
      <bottom style="dashed">
        <color theme="0" tint="-0.24994659260841701"/>
      </bottom>
      <diagonal/>
    </border>
    <border>
      <left style="dashed">
        <color theme="0" tint="-0.24994659260841701"/>
      </left>
      <right style="dashed">
        <color theme="0" tint="-0.24994659260841701"/>
      </right>
      <top style="double">
        <color indexed="64"/>
      </top>
      <bottom style="dashed">
        <color theme="0" tint="-0.24994659260841701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ashed">
        <color theme="0" tint="-0.24994659260841701"/>
      </left>
      <right style="dashed">
        <color theme="0" tint="-0.24994659260841701"/>
      </right>
      <top style="dashed">
        <color theme="0" tint="-0.24994659260841701"/>
      </top>
      <bottom/>
      <diagonal/>
    </border>
    <border>
      <left style="dashed">
        <color theme="0" tint="-0.24994659260841701"/>
      </left>
      <right style="dashed">
        <color theme="0" tint="-0.24994659260841701"/>
      </right>
      <top style="double">
        <color indexed="64"/>
      </top>
      <bottom/>
      <diagonal/>
    </border>
    <border>
      <left style="dashed">
        <color theme="0" tint="-0.24994659260841701"/>
      </left>
      <right style="thin">
        <color indexed="64"/>
      </right>
      <top style="dashed">
        <color theme="0" tint="-0.24994659260841701"/>
      </top>
      <bottom/>
      <diagonal/>
    </border>
  </borders>
  <cellStyleXfs count="8">
    <xf numFmtId="0" fontId="0" fillId="0" borderId="0"/>
    <xf numFmtId="44" fontId="3" fillId="0" borderId="0" applyFont="0" applyFill="0" applyBorder="0" applyAlignment="0" applyProtection="0"/>
    <xf numFmtId="0" fontId="15" fillId="0" borderId="0" applyNumberFormat="0" applyFill="0" applyBorder="0" applyAlignment="0" applyProtection="0"/>
    <xf numFmtId="9" fontId="3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44" fontId="21" fillId="0" borderId="0" applyFont="0" applyFill="0" applyBorder="0" applyAlignment="0" applyProtection="0"/>
  </cellStyleXfs>
  <cellXfs count="120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0" fillId="3" borderId="3" xfId="0" applyFill="1" applyBorder="1"/>
    <xf numFmtId="0" fontId="0" fillId="3" borderId="4" xfId="0" applyFill="1" applyBorder="1"/>
    <xf numFmtId="0" fontId="4" fillId="0" borderId="1" xfId="0" applyFont="1" applyBorder="1" applyAlignment="1">
      <alignment horizontal="center" vertical="center" wrapText="1"/>
    </xf>
    <xf numFmtId="0" fontId="6" fillId="3" borderId="4" xfId="0" applyFont="1" applyFill="1" applyBorder="1" applyAlignment="1">
      <alignment vertical="center"/>
    </xf>
    <xf numFmtId="0" fontId="6" fillId="3" borderId="5" xfId="0" applyFont="1" applyFill="1" applyBorder="1" applyAlignment="1">
      <alignment vertical="center"/>
    </xf>
    <xf numFmtId="0" fontId="5" fillId="5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4" fontId="4" fillId="0" borderId="1" xfId="1" applyFont="1" applyBorder="1" applyAlignment="1">
      <alignment horizontal="center" vertical="center" wrapText="1"/>
    </xf>
    <xf numFmtId="44" fontId="0" fillId="0" borderId="1" xfId="1" applyFont="1" applyBorder="1" applyAlignment="1">
      <alignment horizontal="center" vertical="center" wrapText="1"/>
    </xf>
    <xf numFmtId="44" fontId="0" fillId="0" borderId="1" xfId="1" applyFont="1" applyFill="1" applyBorder="1" applyAlignment="1">
      <alignment horizontal="center" vertical="center" wrapText="1"/>
    </xf>
    <xf numFmtId="8" fontId="0" fillId="0" borderId="1" xfId="1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44" fontId="13" fillId="0" borderId="1" xfId="1" applyFont="1" applyBorder="1" applyAlignment="1">
      <alignment horizontal="center" vertical="center" wrapText="1"/>
    </xf>
    <xf numFmtId="0" fontId="15" fillId="0" borderId="0" xfId="2"/>
    <xf numFmtId="0" fontId="15" fillId="0" borderId="1" xfId="2" applyBorder="1" applyAlignment="1">
      <alignment horizontal="center" vertical="center" wrapText="1"/>
    </xf>
    <xf numFmtId="44" fontId="0" fillId="0" borderId="0" xfId="1" applyFont="1"/>
    <xf numFmtId="0" fontId="2" fillId="5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44" fontId="0" fillId="0" borderId="0" xfId="0" applyNumberFormat="1" applyAlignment="1">
      <alignment horizontal="center" vertical="center" wrapText="1"/>
    </xf>
    <xf numFmtId="44" fontId="18" fillId="6" borderId="1" xfId="1" applyFont="1" applyFill="1" applyBorder="1" applyAlignment="1">
      <alignment horizontal="center" vertical="center" wrapText="1"/>
    </xf>
    <xf numFmtId="44" fontId="19" fillId="0" borderId="1" xfId="1" applyFont="1" applyBorder="1" applyAlignment="1">
      <alignment horizontal="center" vertical="center" wrapText="1"/>
    </xf>
    <xf numFmtId="0" fontId="20" fillId="9" borderId="9" xfId="0" applyFont="1" applyFill="1" applyBorder="1" applyAlignment="1">
      <alignment horizontal="center" vertical="center" wrapText="1"/>
    </xf>
    <xf numFmtId="0" fontId="20" fillId="9" borderId="10" xfId="0" applyFont="1" applyFill="1" applyBorder="1" applyAlignment="1">
      <alignment horizontal="center" vertical="center" wrapText="1"/>
    </xf>
    <xf numFmtId="0" fontId="20" fillId="9" borderId="11" xfId="0" applyFont="1" applyFill="1" applyBorder="1" applyAlignment="1">
      <alignment horizontal="center" vertical="center" wrapText="1"/>
    </xf>
    <xf numFmtId="0" fontId="22" fillId="0" borderId="0" xfId="4" applyFont="1" applyAlignment="1" applyProtection="1">
      <alignment vertical="center"/>
      <protection locked="0"/>
    </xf>
    <xf numFmtId="3" fontId="22" fillId="0" borderId="0" xfId="4" applyNumberFormat="1" applyFont="1" applyAlignment="1" applyProtection="1">
      <alignment vertical="center"/>
      <protection locked="0"/>
    </xf>
    <xf numFmtId="0" fontId="22" fillId="0" borderId="0" xfId="4" applyFont="1" applyAlignment="1" applyProtection="1">
      <alignment horizontal="center" vertical="center"/>
      <protection locked="0"/>
    </xf>
    <xf numFmtId="1" fontId="22" fillId="0" borderId="0" xfId="5" applyNumberFormat="1" applyFont="1" applyAlignment="1" applyProtection="1">
      <alignment horizontal="center" vertical="center"/>
      <protection locked="0"/>
    </xf>
    <xf numFmtId="3" fontId="22" fillId="3" borderId="0" xfId="4" applyNumberFormat="1" applyFont="1" applyFill="1" applyAlignment="1" applyProtection="1">
      <alignment vertical="center"/>
      <protection locked="0"/>
    </xf>
    <xf numFmtId="3" fontId="23" fillId="3" borderId="0" xfId="4" applyNumberFormat="1" applyFont="1" applyFill="1" applyAlignment="1" applyProtection="1">
      <alignment horizontal="center" vertical="center"/>
      <protection locked="0"/>
    </xf>
    <xf numFmtId="0" fontId="22" fillId="5" borderId="1" xfId="4" applyFont="1" applyFill="1" applyBorder="1" applyAlignment="1" applyProtection="1">
      <alignment horizontal="center" vertical="center"/>
      <protection locked="0"/>
    </xf>
    <xf numFmtId="44" fontId="23" fillId="5" borderId="1" xfId="4" applyNumberFormat="1" applyFont="1" applyFill="1" applyBorder="1" applyAlignment="1">
      <alignment horizontal="center" vertical="center"/>
    </xf>
    <xf numFmtId="44" fontId="22" fillId="5" borderId="1" xfId="4" applyNumberFormat="1" applyFont="1" applyFill="1" applyBorder="1" applyAlignment="1">
      <alignment horizontal="center" vertical="center"/>
    </xf>
    <xf numFmtId="44" fontId="22" fillId="0" borderId="13" xfId="4" applyNumberFormat="1" applyFont="1" applyBorder="1" applyAlignment="1">
      <alignment horizontal="center" vertical="center"/>
    </xf>
    <xf numFmtId="0" fontId="22" fillId="0" borderId="14" xfId="4" applyFont="1" applyBorder="1" applyAlignment="1">
      <alignment horizontal="center" vertical="center"/>
    </xf>
    <xf numFmtId="0" fontId="24" fillId="0" borderId="14" xfId="4" applyFont="1" applyBorder="1" applyAlignment="1" applyProtection="1">
      <alignment horizontal="center" vertical="center"/>
      <protection locked="0"/>
    </xf>
    <xf numFmtId="3" fontId="22" fillId="0" borderId="14" xfId="4" applyNumberFormat="1" applyFont="1" applyBorder="1" applyAlignment="1">
      <alignment horizontal="center" vertical="center"/>
    </xf>
    <xf numFmtId="44" fontId="23" fillId="5" borderId="1" xfId="4" applyNumberFormat="1" applyFont="1" applyFill="1" applyBorder="1" applyAlignment="1" applyProtection="1">
      <alignment horizontal="center" vertical="center"/>
      <protection locked="0"/>
    </xf>
    <xf numFmtId="44" fontId="22" fillId="5" borderId="1" xfId="4" applyNumberFormat="1" applyFont="1" applyFill="1" applyBorder="1" applyAlignment="1" applyProtection="1">
      <alignment horizontal="center" vertical="center"/>
      <protection locked="0"/>
    </xf>
    <xf numFmtId="44" fontId="24" fillId="0" borderId="13" xfId="4" applyNumberFormat="1" applyFont="1" applyBorder="1" applyAlignment="1" applyProtection="1">
      <alignment horizontal="center" vertical="center"/>
      <protection locked="0"/>
    </xf>
    <xf numFmtId="44" fontId="22" fillId="0" borderId="13" xfId="4" applyNumberFormat="1" applyFont="1" applyBorder="1" applyAlignment="1" applyProtection="1">
      <alignment horizontal="center" vertical="center"/>
      <protection locked="0"/>
    </xf>
    <xf numFmtId="0" fontId="22" fillId="0" borderId="14" xfId="4" applyFont="1" applyBorder="1" applyAlignment="1" applyProtection="1">
      <alignment horizontal="center" vertical="center"/>
      <protection locked="0"/>
    </xf>
    <xf numFmtId="1" fontId="22" fillId="0" borderId="14" xfId="5" applyNumberFormat="1" applyFont="1" applyBorder="1" applyAlignment="1" applyProtection="1">
      <alignment horizontal="center" vertical="center"/>
      <protection locked="0"/>
    </xf>
    <xf numFmtId="0" fontId="22" fillId="0" borderId="14" xfId="6" applyFont="1" applyBorder="1" applyAlignment="1" applyProtection="1">
      <alignment horizontal="center" vertical="center"/>
      <protection hidden="1"/>
    </xf>
    <xf numFmtId="0" fontId="22" fillId="4" borderId="14" xfId="4" applyFont="1" applyFill="1" applyBorder="1" applyAlignment="1">
      <alignment horizontal="center" vertical="center"/>
    </xf>
    <xf numFmtId="44" fontId="22" fillId="5" borderId="1" xfId="7" applyFont="1" applyFill="1" applyBorder="1" applyAlignment="1" applyProtection="1">
      <alignment horizontal="center" vertical="center"/>
      <protection locked="0"/>
    </xf>
    <xf numFmtId="44" fontId="22" fillId="0" borderId="13" xfId="7" applyFont="1" applyBorder="1" applyAlignment="1">
      <alignment horizontal="center" vertical="center"/>
    </xf>
    <xf numFmtId="49" fontId="22" fillId="0" borderId="14" xfId="5" applyNumberFormat="1" applyFont="1" applyFill="1" applyBorder="1" applyAlignment="1" applyProtection="1">
      <alignment horizontal="center" vertical="center"/>
      <protection hidden="1"/>
    </xf>
    <xf numFmtId="165" fontId="22" fillId="0" borderId="14" xfId="6" applyNumberFormat="1" applyFont="1" applyBorder="1" applyAlignment="1" applyProtection="1">
      <alignment horizontal="center" vertical="center"/>
      <protection hidden="1"/>
    </xf>
    <xf numFmtId="0" fontId="22" fillId="9" borderId="12" xfId="4" applyFont="1" applyFill="1" applyBorder="1" applyAlignment="1" applyProtection="1">
      <alignment horizontal="center" vertical="center"/>
      <protection locked="0"/>
    </xf>
    <xf numFmtId="44" fontId="22" fillId="9" borderId="15" xfId="4" applyNumberFormat="1" applyFont="1" applyFill="1" applyBorder="1" applyAlignment="1" applyProtection="1">
      <alignment horizontal="center" vertical="center"/>
      <protection locked="0"/>
    </xf>
    <xf numFmtId="44" fontId="22" fillId="9" borderId="16" xfId="4" applyNumberFormat="1" applyFont="1" applyFill="1" applyBorder="1" applyAlignment="1" applyProtection="1">
      <alignment horizontal="center" vertical="center"/>
      <protection locked="0"/>
    </xf>
    <xf numFmtId="44" fontId="22" fillId="0" borderId="14" xfId="4" applyNumberFormat="1" applyFont="1" applyBorder="1" applyAlignment="1" applyProtection="1">
      <alignment horizontal="center" vertical="center"/>
      <protection locked="0"/>
    </xf>
    <xf numFmtId="0" fontId="22" fillId="6" borderId="1" xfId="4" applyFont="1" applyFill="1" applyBorder="1" applyAlignment="1" applyProtection="1">
      <alignment horizontal="center" vertical="center"/>
      <protection locked="0"/>
    </xf>
    <xf numFmtId="44" fontId="22" fillId="6" borderId="1" xfId="4" applyNumberFormat="1" applyFont="1" applyFill="1" applyBorder="1" applyAlignment="1" applyProtection="1">
      <alignment horizontal="center" vertical="center"/>
      <protection locked="0"/>
    </xf>
    <xf numFmtId="1" fontId="22" fillId="10" borderId="14" xfId="5" applyNumberFormat="1" applyFont="1" applyFill="1" applyBorder="1" applyAlignment="1" applyProtection="1">
      <alignment horizontal="center" vertical="center"/>
      <protection locked="0"/>
    </xf>
    <xf numFmtId="44" fontId="22" fillId="6" borderId="1" xfId="4" applyNumberFormat="1" applyFont="1" applyFill="1" applyBorder="1" applyAlignment="1">
      <alignment horizontal="center" vertical="center"/>
    </xf>
    <xf numFmtId="1" fontId="22" fillId="0" borderId="14" xfId="5" applyNumberFormat="1" applyFont="1" applyFill="1" applyBorder="1" applyAlignment="1" applyProtection="1">
      <alignment horizontal="center" vertical="center"/>
      <protection locked="0"/>
    </xf>
    <xf numFmtId="44" fontId="22" fillId="0" borderId="17" xfId="4" applyNumberFormat="1" applyFont="1" applyBorder="1" applyAlignment="1" applyProtection="1">
      <alignment horizontal="center" vertical="center"/>
      <protection locked="0"/>
    </xf>
    <xf numFmtId="0" fontId="22" fillId="0" borderId="18" xfId="4" applyFont="1" applyBorder="1" applyAlignment="1" applyProtection="1">
      <alignment horizontal="center" vertical="center"/>
      <protection locked="0"/>
    </xf>
    <xf numFmtId="1" fontId="22" fillId="0" borderId="18" xfId="5" applyNumberFormat="1" applyFont="1" applyBorder="1" applyAlignment="1" applyProtection="1">
      <alignment horizontal="center" vertical="center"/>
      <protection locked="0"/>
    </xf>
    <xf numFmtId="0" fontId="24" fillId="0" borderId="18" xfId="4" applyFont="1" applyBorder="1" applyAlignment="1" applyProtection="1">
      <alignment horizontal="center" vertical="center"/>
      <protection locked="0"/>
    </xf>
    <xf numFmtId="3" fontId="22" fillId="0" borderId="18" xfId="4" applyNumberFormat="1" applyFont="1" applyBorder="1" applyAlignment="1">
      <alignment horizontal="center" vertical="center"/>
    </xf>
    <xf numFmtId="0" fontId="22" fillId="0" borderId="18" xfId="4" applyFont="1" applyBorder="1" applyAlignment="1">
      <alignment horizontal="center" vertical="center"/>
    </xf>
    <xf numFmtId="0" fontId="23" fillId="3" borderId="19" xfId="4" applyFont="1" applyFill="1" applyBorder="1" applyAlignment="1" applyProtection="1">
      <alignment horizontal="center" vertical="center" wrapText="1"/>
      <protection locked="0"/>
    </xf>
    <xf numFmtId="166" fontId="25" fillId="11" borderId="20" xfId="4" applyNumberFormat="1" applyFont="1" applyFill="1" applyBorder="1" applyAlignment="1" applyProtection="1">
      <alignment horizontal="center" vertical="center" wrapText="1"/>
      <protection locked="0"/>
    </xf>
    <xf numFmtId="166" fontId="25" fillId="5" borderId="20" xfId="4" applyNumberFormat="1" applyFont="1" applyFill="1" applyBorder="1" applyAlignment="1" applyProtection="1">
      <alignment horizontal="center" vertical="center" wrapText="1"/>
      <protection locked="0"/>
    </xf>
    <xf numFmtId="3" fontId="25" fillId="6" borderId="21" xfId="4" applyNumberFormat="1" applyFont="1" applyFill="1" applyBorder="1" applyAlignment="1" applyProtection="1">
      <alignment horizontal="center" vertical="center" wrapText="1"/>
      <protection locked="0"/>
    </xf>
    <xf numFmtId="167" fontId="25" fillId="3" borderId="21" xfId="4" applyNumberFormat="1" applyFont="1" applyFill="1" applyBorder="1" applyAlignment="1" applyProtection="1">
      <alignment horizontal="center" vertical="center"/>
      <protection locked="0"/>
    </xf>
    <xf numFmtId="167" fontId="25" fillId="9" borderId="21" xfId="4" applyNumberFormat="1" applyFont="1" applyFill="1" applyBorder="1" applyAlignment="1" applyProtection="1">
      <alignment horizontal="center" vertical="center" wrapText="1"/>
      <protection locked="0"/>
    </xf>
    <xf numFmtId="167" fontId="25" fillId="3" borderId="21" xfId="4" applyNumberFormat="1" applyFont="1" applyFill="1" applyBorder="1" applyAlignment="1" applyProtection="1">
      <alignment horizontal="center" vertical="center" wrapText="1"/>
      <protection locked="0"/>
    </xf>
    <xf numFmtId="167" fontId="24" fillId="0" borderId="21" xfId="4" applyNumberFormat="1" applyFont="1" applyBorder="1" applyAlignment="1" applyProtection="1">
      <alignment horizontal="center" vertical="center"/>
      <protection locked="0"/>
    </xf>
    <xf numFmtId="0" fontId="22" fillId="0" borderId="23" xfId="4" applyFont="1" applyBorder="1" applyAlignment="1" applyProtection="1">
      <alignment vertical="center"/>
      <protection locked="0"/>
    </xf>
    <xf numFmtId="3" fontId="22" fillId="0" borderId="23" xfId="4" applyNumberFormat="1" applyFont="1" applyBorder="1" applyAlignment="1" applyProtection="1">
      <alignment horizontal="center" vertical="center"/>
      <protection locked="0"/>
    </xf>
    <xf numFmtId="1" fontId="22" fillId="0" borderId="23" xfId="5" applyNumberFormat="1" applyFont="1" applyBorder="1" applyAlignment="1" applyProtection="1">
      <alignment horizontal="center" vertical="center"/>
      <protection locked="0"/>
    </xf>
    <xf numFmtId="0" fontId="22" fillId="0" borderId="23" xfId="4" applyFont="1" applyBorder="1" applyAlignment="1" applyProtection="1">
      <alignment horizontal="center" vertical="center"/>
      <protection locked="0"/>
    </xf>
    <xf numFmtId="44" fontId="22" fillId="0" borderId="23" xfId="4" applyNumberFormat="1" applyFont="1" applyBorder="1" applyAlignment="1" applyProtection="1">
      <alignment horizontal="center" vertical="center"/>
      <protection locked="0"/>
    </xf>
    <xf numFmtId="44" fontId="22" fillId="0" borderId="24" xfId="4" applyNumberFormat="1" applyFont="1" applyBorder="1" applyAlignment="1" applyProtection="1">
      <alignment horizontal="center" vertical="center"/>
      <protection locked="0"/>
    </xf>
    <xf numFmtId="44" fontId="22" fillId="0" borderId="25" xfId="4" applyNumberFormat="1" applyFont="1" applyBorder="1" applyAlignment="1" applyProtection="1">
      <alignment horizontal="center" vertical="center"/>
      <protection locked="0"/>
    </xf>
    <xf numFmtId="3" fontId="22" fillId="0" borderId="11" xfId="4" applyNumberFormat="1" applyFont="1" applyBorder="1" applyAlignment="1" applyProtection="1">
      <alignment horizontal="center" vertical="center"/>
      <protection locked="0"/>
    </xf>
    <xf numFmtId="44" fontId="0" fillId="0" borderId="0" xfId="1" applyFont="1" applyAlignment="1">
      <alignment horizontal="center" vertical="center" wrapText="1"/>
    </xf>
    <xf numFmtId="9" fontId="13" fillId="0" borderId="1" xfId="3" applyFont="1" applyBorder="1" applyAlignment="1">
      <alignment horizontal="center" vertical="center" wrapText="1"/>
    </xf>
    <xf numFmtId="10" fontId="13" fillId="0" borderId="1" xfId="3" applyNumberFormat="1" applyFont="1" applyBorder="1" applyAlignment="1">
      <alignment horizontal="center" vertical="center" wrapText="1"/>
    </xf>
    <xf numFmtId="167" fontId="25" fillId="6" borderId="21" xfId="4" applyNumberFormat="1" applyFont="1" applyFill="1" applyBorder="1" applyAlignment="1" applyProtection="1">
      <alignment horizontal="center" vertical="center"/>
      <protection locked="0"/>
    </xf>
    <xf numFmtId="167" fontId="24" fillId="0" borderId="21" xfId="4" applyNumberFormat="1" applyFont="1" applyBorder="1" applyAlignment="1" applyProtection="1">
      <alignment horizontal="center" vertical="center"/>
      <protection locked="0"/>
    </xf>
    <xf numFmtId="168" fontId="26" fillId="0" borderId="0" xfId="4" applyNumberFormat="1" applyFont="1" applyAlignment="1">
      <alignment horizontal="center" vertical="center"/>
    </xf>
    <xf numFmtId="168" fontId="26" fillId="0" borderId="22" xfId="4" applyNumberFormat="1" applyFont="1" applyBorder="1" applyAlignment="1">
      <alignment horizontal="center" vertical="center"/>
    </xf>
    <xf numFmtId="0" fontId="27" fillId="0" borderId="6" xfId="0" applyFont="1" applyBorder="1" applyAlignment="1">
      <alignment horizontal="center" vertical="center" wrapText="1"/>
    </xf>
    <xf numFmtId="0" fontId="27" fillId="0" borderId="7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13" fillId="9" borderId="6" xfId="0" applyFont="1" applyFill="1" applyBorder="1" applyAlignment="1">
      <alignment horizontal="center" vertical="center" wrapText="1"/>
    </xf>
    <xf numFmtId="0" fontId="13" fillId="9" borderId="8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44" fontId="1" fillId="0" borderId="1" xfId="1" applyFont="1" applyFill="1" applyBorder="1" applyAlignment="1">
      <alignment horizontal="center" vertical="center" wrapText="1"/>
    </xf>
    <xf numFmtId="14" fontId="1" fillId="0" borderId="1" xfId="1" applyNumberFormat="1" applyFont="1" applyFill="1" applyBorder="1" applyAlignment="1">
      <alignment horizontal="center" vertical="center" wrapText="1"/>
    </xf>
    <xf numFmtId="0" fontId="0" fillId="0" borderId="0" xfId="0" applyFill="1"/>
    <xf numFmtId="44" fontId="1" fillId="0" borderId="1" xfId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44" fontId="12" fillId="0" borderId="6" xfId="1" applyFont="1" applyFill="1" applyBorder="1" applyAlignment="1">
      <alignment horizontal="center" vertical="center" wrapText="1"/>
    </xf>
    <xf numFmtId="44" fontId="12" fillId="0" borderId="7" xfId="1" applyFont="1" applyFill="1" applyBorder="1" applyAlignment="1">
      <alignment horizontal="center" vertical="center" wrapText="1"/>
    </xf>
    <xf numFmtId="44" fontId="12" fillId="0" borderId="8" xfId="1" applyFont="1" applyFill="1" applyBorder="1" applyAlignment="1">
      <alignment horizontal="center" vertical="center" wrapText="1"/>
    </xf>
    <xf numFmtId="44" fontId="1" fillId="0" borderId="6" xfId="1" applyFont="1" applyFill="1" applyBorder="1" applyAlignment="1">
      <alignment horizontal="center" vertical="center" wrapText="1"/>
    </xf>
    <xf numFmtId="44" fontId="1" fillId="0" borderId="7" xfId="1" applyFont="1" applyFill="1" applyBorder="1" applyAlignment="1">
      <alignment horizontal="center" vertical="center" wrapText="1"/>
    </xf>
    <xf numFmtId="44" fontId="1" fillId="0" borderId="8" xfId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44" fontId="14" fillId="0" borderId="6" xfId="1" applyFont="1" applyFill="1" applyBorder="1" applyAlignment="1">
      <alignment horizontal="center" vertical="center" wrapText="1"/>
    </xf>
    <xf numFmtId="44" fontId="17" fillId="0" borderId="6" xfId="1" applyFont="1" applyFill="1" applyBorder="1" applyAlignment="1">
      <alignment horizontal="center" vertical="center" wrapText="1"/>
    </xf>
    <xf numFmtId="44" fontId="17" fillId="0" borderId="7" xfId="1" applyFont="1" applyFill="1" applyBorder="1" applyAlignment="1">
      <alignment horizontal="center" vertical="center" wrapText="1"/>
    </xf>
    <xf numFmtId="44" fontId="17" fillId="0" borderId="8" xfId="1" applyFont="1" applyFill="1" applyBorder="1" applyAlignment="1">
      <alignment horizontal="center" vertical="center" wrapText="1"/>
    </xf>
  </cellXfs>
  <cellStyles count="8">
    <cellStyle name="Hiperlink" xfId="2" builtinId="8"/>
    <cellStyle name="Moeda" xfId="1" builtinId="4"/>
    <cellStyle name="Moeda 2" xfId="7" xr:uid="{3C660CD0-63E0-40A0-95E3-8B46E5209173}"/>
    <cellStyle name="Normal" xfId="0" builtinId="0"/>
    <cellStyle name="Normal 2" xfId="4" xr:uid="{DB5EB866-3BD9-4FB2-8472-33F5E04F199A}"/>
    <cellStyle name="Normal 2 2" xfId="6" xr:uid="{B4C78156-574A-4590-9CC8-4B3209B30135}"/>
    <cellStyle name="Porcentagem" xfId="3" builtinId="5"/>
    <cellStyle name="Vírgula 2" xfId="5" xr:uid="{8AAF000C-5F49-4191-A970-999014B0BF91}"/>
  </cellStyles>
  <dxfs count="29">
    <dxf>
      <fill>
        <patternFill>
          <bgColor theme="9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  <border diagonalUp="0" diagonalDown="0" outline="0">
        <left style="dashed">
          <color theme="0" tint="-0.24994659260841701"/>
        </left>
        <right style="thin">
          <color indexed="64"/>
        </right>
        <top style="dashed">
          <color theme="0" tint="-0.24994659260841701"/>
        </top>
        <bottom style="dashed">
          <color theme="0" tint="-0.2499465926084170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  <border diagonalUp="0" diagonalDown="0">
        <left style="dashed">
          <color theme="0" tint="-0.24994659260841701"/>
        </left>
        <right style="dashed">
          <color theme="0" tint="-0.24994659260841701"/>
        </right>
        <top style="double">
          <color indexed="64"/>
        </top>
        <bottom style="dashed">
          <color theme="0" tint="-0.2499465926084170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  <border diagonalUp="0" diagonalDown="0">
        <left style="dashed">
          <color theme="0" tint="-0.24994659260841701"/>
        </left>
        <right style="dashed">
          <color theme="0" tint="-0.24994659260841701"/>
        </right>
        <top style="dashed">
          <color theme="0" tint="-0.24994659260841701"/>
        </top>
        <bottom style="dashed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dashed">
          <color theme="0" tint="-0.24994659260841701"/>
        </left>
        <right style="dashed">
          <color theme="0" tint="-0.24994659260841701"/>
        </right>
        <top style="dashed">
          <color theme="0" tint="-0.24994659260841701"/>
        </top>
        <bottom style="dashed">
          <color theme="0" tint="-0.2499465926084170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dashed">
          <color theme="0" tint="-0.24994659260841701"/>
        </left>
        <right style="dashed">
          <color theme="0" tint="-0.24994659260841701"/>
        </right>
        <top style="dashed">
          <color theme="0" tint="-0.24994659260841701"/>
        </top>
        <bottom style="dashed">
          <color theme="0" tint="-0.2499465926084170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dashed">
          <color theme="0" tint="-0.24994659260841701"/>
        </left>
        <right style="dashed">
          <color theme="0" tint="-0.24994659260841701"/>
        </right>
        <top style="dashed">
          <color theme="0" tint="-0.24994659260841701"/>
        </top>
        <bottom style="dashed">
          <color theme="0" tint="-0.2499465926084170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dashed">
          <color theme="0" tint="-0.24994659260841701"/>
        </left>
        <right style="dashed">
          <color theme="0" tint="-0.24994659260841701"/>
        </right>
        <top style="dashed">
          <color theme="0" tint="-0.24994659260841701"/>
        </top>
        <bottom style="dashed">
          <color theme="0" tint="-0.2499465926084170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dashed">
          <color theme="0" tint="-0.24994659260841701"/>
        </left>
        <right style="dashed">
          <color theme="0" tint="-0.24994659260841701"/>
        </right>
        <top style="dashed">
          <color theme="0" tint="-0.24994659260841701"/>
        </top>
        <bottom style="dashed">
          <color theme="0" tint="-0.2499465926084170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dashed">
          <color theme="0" tint="-0.24994659260841701"/>
        </left>
        <right style="dashed">
          <color theme="0" tint="-0.24994659260841701"/>
        </right>
        <top style="dashed">
          <color theme="0" tint="-0.24994659260841701"/>
        </top>
        <bottom style="dashed">
          <color theme="0" tint="-0.2499465926084170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dashed">
          <color theme="0" tint="-0.24994659260841701"/>
        </left>
        <right style="dashed">
          <color theme="0" tint="-0.24994659260841701"/>
        </right>
        <top style="dashed">
          <color theme="0" tint="-0.24994659260841701"/>
        </top>
        <bottom style="dashed">
          <color theme="0" tint="-0.2499465926084170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vertical="center" textRotation="0" indent="0" justifyLastLine="0" shrinkToFit="0" readingOrder="0"/>
      <border diagonalUp="0" diagonalDown="0" outline="0">
        <left style="dashed">
          <color theme="0" tint="-0.24994659260841701"/>
        </left>
        <right style="dashed">
          <color theme="0" tint="-0.24994659260841701"/>
        </right>
        <top style="dashed">
          <color theme="0" tint="-0.24994659260841701"/>
        </top>
        <bottom style="dashed">
          <color theme="0" tint="-0.2499465926084170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dashed">
          <color theme="0" tint="-0.24994659260841701"/>
        </left>
        <right style="dashed">
          <color theme="0" tint="-0.24994659260841701"/>
        </right>
        <top style="dashed">
          <color theme="0" tint="-0.24994659260841701"/>
        </top>
        <bottom style="dashed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dashed">
          <color theme="0" tint="-0.24994659260841701"/>
        </left>
        <right style="dashed">
          <color theme="0" tint="-0.24994659260841701"/>
        </right>
        <top style="dashed">
          <color theme="0" tint="-0.24994659260841701"/>
        </top>
        <bottom style="dashed">
          <color theme="0" tint="-0.24994659260841701"/>
        </bottom>
        <vertical style="dashed">
          <color theme="0" tint="-0.24994659260841701"/>
        </vertical>
        <horizontal style="dashed">
          <color theme="0" tint="-0.24994659260841701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dashed">
          <color theme="0" tint="-0.24994659260841701"/>
        </left>
        <right style="dashed">
          <color theme="0" tint="-0.24994659260841701"/>
        </right>
        <top style="dashed">
          <color theme="0" tint="-0.24994659260841701"/>
        </top>
        <bottom style="dashed">
          <color theme="0" tint="-0.24994659260841701"/>
        </bottom>
        <vertical style="dashed">
          <color theme="0" tint="-0.24994659260841701"/>
        </vertical>
        <horizontal style="dashed">
          <color theme="0" tint="-0.24994659260841701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vertical="center" textRotation="0" indent="0" justifyLastLine="0" shrinkToFit="0" readingOrder="0"/>
      <border diagonalUp="0" diagonalDown="0">
        <left style="dashed">
          <color theme="0" tint="-0.24994659260841701"/>
        </left>
        <right style="dashed">
          <color theme="0" tint="-0.24994659260841701"/>
        </right>
        <top style="dashed">
          <color theme="0" tint="-0.24994659260841701"/>
        </top>
        <bottom style="dashed">
          <color theme="0" tint="-0.24994659260841701"/>
        </bottom>
        <vertical style="dashed">
          <color theme="0" tint="-0.24994659260841701"/>
        </vertical>
        <horizontal style="dashed">
          <color theme="0" tint="-0.24994659260841701"/>
        </horizontal>
      </border>
      <protection locked="0" hidden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vertical="center" textRotation="0" indent="0" justifyLastLine="0" shrinkToFit="0" readingOrder="0"/>
      <protection locked="0" hidden="0"/>
    </dxf>
    <dxf>
      <border>
        <bottom style="double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vertical="center" textRotation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1347696</xdr:colOff>
      <xdr:row>0</xdr:row>
      <xdr:rowOff>48942</xdr:rowOff>
    </xdr:from>
    <xdr:ext cx="26584366" cy="1013993"/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CF4AA59F-0145-4BDA-9F51-A738DEFA5315}"/>
            </a:ext>
            <a:ext uri="{147F2762-F138-4A5C-976F-8EAC2B608ADB}">
              <a16:predDERef xmlns:a16="http://schemas.microsoft.com/office/drawing/2014/main" pred="{4F8BEA71-BF45-4BDF-BDC1-BFCAD6278DD4}"/>
            </a:ext>
          </a:extLst>
        </xdr:cNvPr>
        <xdr:cNvSpPr/>
      </xdr:nvSpPr>
      <xdr:spPr>
        <a:xfrm>
          <a:off x="3824196" y="48942"/>
          <a:ext cx="26584366" cy="1013993"/>
        </a:xfrm>
        <a:prstGeom prst="rect">
          <a:avLst/>
        </a:prstGeom>
        <a:noFill/>
      </xdr:spPr>
      <xdr:txBody>
        <a:bodyPr wrap="none" lIns="91440" tIns="45720" rIns="91440" bIns="45720">
          <a:noAutofit/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pt-BR" sz="5400" b="1" cap="none" spc="0">
              <a:ln/>
              <a:solidFill>
                <a:schemeClr val="accent3"/>
              </a:solidFill>
              <a:effectLst/>
            </a:rPr>
            <a:t>BID - COTAÇÃO SEGURO RCV 2026 / 2027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438150</xdr:colOff>
      <xdr:row>0</xdr:row>
      <xdr:rowOff>57150</xdr:rowOff>
    </xdr:from>
    <xdr:to>
      <xdr:col>13</xdr:col>
      <xdr:colOff>582066</xdr:colOff>
      <xdr:row>21</xdr:row>
      <xdr:rowOff>19603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8163329-928F-BB90-F540-063A935A2A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57150"/>
          <a:ext cx="7459116" cy="3962953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22</xdr:row>
      <xdr:rowOff>0</xdr:rowOff>
    </xdr:from>
    <xdr:to>
      <xdr:col>15</xdr:col>
      <xdr:colOff>201074</xdr:colOff>
      <xdr:row>37</xdr:row>
      <xdr:rowOff>152820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E7B85FF-2CF0-D64C-61AF-EC7235234C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8800" y="4191000"/>
          <a:ext cx="7516274" cy="301032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</xdr:row>
      <xdr:rowOff>0</xdr:rowOff>
    </xdr:from>
    <xdr:to>
      <xdr:col>27</xdr:col>
      <xdr:colOff>134390</xdr:colOff>
      <xdr:row>26</xdr:row>
      <xdr:rowOff>124507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27B8F14-AF4E-E6D5-D3D7-90563CB28B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72500" y="190500"/>
          <a:ext cx="7449590" cy="4887007"/>
        </a:xfrm>
        <a:prstGeom prst="rect">
          <a:avLst/>
        </a:prstGeom>
      </xdr:spPr>
    </xdr:pic>
    <xdr:clientData/>
  </xdr:twoCellAnchor>
  <xdr:twoCellAnchor editAs="oneCell">
    <xdr:from>
      <xdr:col>5</xdr:col>
      <xdr:colOff>485775</xdr:colOff>
      <xdr:row>45</xdr:row>
      <xdr:rowOff>114300</xdr:rowOff>
    </xdr:from>
    <xdr:to>
      <xdr:col>18</xdr:col>
      <xdr:colOff>18118</xdr:colOff>
      <xdr:row>62</xdr:row>
      <xdr:rowOff>94848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6C4556A3-D63A-DC90-6FAF-9DA3E1EA0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62275" y="8686800"/>
          <a:ext cx="7457143" cy="321904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lef Azevedo" id="{BC5A405B-D90E-47DA-97AD-B30EE9078C35}" userId="S::aazevedo@toliman.com.br::85097d0d-d018-481f-ad2b-cf853cb86461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C09131-167A-4959-9BB3-B03F90C8F267}" name="Tabela1" displayName="Tabela1" ref="A5:P135" totalsRowShown="0" headerRowDxfId="28" dataDxfId="26" headerRowBorderDxfId="27" tableBorderDxfId="25">
  <autoFilter ref="A5:P135" xr:uid="{00000000-000C-0000-FFFF-FFFF00000000}"/>
  <sortState xmlns:xlrd2="http://schemas.microsoft.com/office/spreadsheetml/2017/richdata2" ref="A6:O134">
    <sortCondition ref="O5:O134"/>
  </sortState>
  <tableColumns count="16">
    <tableColumn id="1" xr3:uid="{00000000-0010-0000-0000-000001000000}" name="ITEM" dataDxfId="24"/>
    <tableColumn id="12" xr3:uid="{B34F6444-CD80-46A9-A199-B2D939E32AB8}" name="PROPRIETÁRIO" dataDxfId="23"/>
    <tableColumn id="24" xr3:uid="{10C6F566-22B7-43CD-BF77-5E7C4F93560C}" name="CEP FISCAL_x000a_OU ITEM A ITEM" dataDxfId="22"/>
    <tableColumn id="25" xr3:uid="{20876009-EBC4-43FC-A26E-9709C83DDB2D}" name="SETOR" dataDxfId="21"/>
    <tableColumn id="3" xr3:uid="{00000000-0010-0000-0000-000003000000}" name="MARCA" dataDxfId="20"/>
    <tableColumn id="4" xr3:uid="{00000000-0010-0000-0000-000004000000}" name="MODELO" dataDxfId="19"/>
    <tableColumn id="6" xr3:uid="{0F57C1D6-18D7-4845-A80C-5E4CE5CCFDE1}" name="MODELO (SEGURADORA)" dataDxfId="18"/>
    <tableColumn id="7" xr3:uid="{00000000-0010-0000-0000-000007000000}" name="ANO" dataDxfId="17"/>
    <tableColumn id="8" xr3:uid="{00000000-0010-0000-0000-000008000000}" name="MOD" dataDxfId="16"/>
    <tableColumn id="9" xr3:uid="{00000000-0010-0000-0000-000009000000}" name="PLACA" dataDxfId="15"/>
    <tableColumn id="10" xr3:uid="{00000000-0010-0000-0000-00000A000000}" name="CHASSI" dataDxfId="14"/>
    <tableColumn id="2" xr3:uid="{6AB9B45F-F391-47A8-AE91-E705E496BD78}" name="COD FIPE" dataDxfId="13"/>
    <tableColumn id="30" xr3:uid="{6FE9EEE6-6804-48B8-9CC7-7B834ED235C2}" name="FRANQUIA AON-HDI" dataDxfId="12"/>
    <tableColumn id="14" xr3:uid="{0B0E3FC9-4213-4799-BBCF-07AAC11FAD74}" name="FRANQUIA INTERBROK - SURA" dataDxfId="11"/>
    <tableColumn id="17" xr3:uid="{1CA87AFF-D74A-4F96-BDEF-469948B0EDE6}" name="DIFERENÇA FRANQUIA" dataDxfId="10">
      <calculatedColumnFormula>Tabela1[[#This Row],[FRANQUIA AON-HDI]]-Tabela1[[#This Row],[FRANQUIA INTERBROK - SURA]]</calculatedColumnFormula>
    </tableColumn>
    <tableColumn id="36" xr3:uid="{8A15D14B-37B9-430E-ADA9-1841A622A7FB}" name="HDI OU SURA" dataDxfId="9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5-04-08T14:39:17.58" personId="{BC5A405B-D90E-47DA-97AD-B30EE9078C35}" id="{FA15156A-59EF-4023-8433-FCCE8D50C814}">
    <text>528 mil + 264 cada gatilho</text>
  </threadedComment>
  <threadedComment ref="D4" dT="2025-04-08T19:00:49.08" personId="{BC5A405B-D90E-47DA-97AD-B30EE9078C35}" id="{48CE8D01-5C2F-4553-A598-6E5E253870DE}" parentId="{FA15156A-59EF-4023-8433-FCCE8D50C814}">
    <text>60% permissivel</text>
  </threadedComment>
  <threadedComment ref="E4" dT="2025-04-08T14:44:24.75" personId="{BC5A405B-D90E-47DA-97AD-B30EE9078C35}" id="{F55DAE4D-EFD3-438D-A41C-D5582F06DEE4}">
    <text>RCG - MAIORES COBERTURAS POREM FRANQUIA</text>
  </threadedComment>
  <threadedComment ref="E4" dT="2025-04-08T14:47:37.65" personId="{BC5A405B-D90E-47DA-97AD-B30EE9078C35}" id="{415083EA-B75B-4953-AF70-B82EC0E45FC2}" parentId="{F55DAE4D-EFD3-438D-A41C-D5582F06DEE4}">
    <text>E aviso 20% frota para +-</text>
  </threadedComment>
  <threadedComment ref="E4" dT="2025-04-08T14:48:07.70" personId="{BC5A405B-D90E-47DA-97AD-B30EE9078C35}" id="{31FB7754-F9A3-44B5-A8F1-3DED5481419F}" parentId="{F55DAE4D-EFD3-438D-A41C-D5582F06DEE4}">
    <text xml:space="preserve">Cobertura Principal 01 Operações, incluindo: - Uso, existência e conservação; - Carga/Descarga (simples); - Movimentação de mercadorias (primária e subsidiária); - Obras de Manutenção; - Circulação de Equipamentos; - Contingente de veículos; - Transporte de funcionários; - Eventos; - Fornecimento de alimentos e bebidas; - Competições e Jogos; - Objetos de Empregados; - Ambulatórios Médicos e/ou Odontológicos; - Poluição; - Vazamento e Infiltração; R$ 5.000.000,00 por evento e no agregado 10% dos prejuízos apurados, com mínimo de R$ 50.000,00 por evento Cobertura Principal 02 - Empregador 20% dos prejuízos apurados, com mínimo de R$ 10.000,00 por evento Extensão de Cobertura – RCF-V – 2º Risco Em excesso à apólice primária, com mínimo de R$ 700.000,00 por evento A. Despesas Emergenciais 100% da IS De acordo com a franquia da cobertura acionada B. Custos de Defesa e Honorários C. Lucros Cessantes de terceiros/Prejuízos e Perdas Financeiras D. Brigada de Incêndio/Serviços de Segurança E. Corresponsabilidade (cruzada simples) F. Danos Morais e Estéticos G. Tumultos </text>
  </threadedComment>
  <threadedComment ref="D5" dT="2025-04-11T20:11:01.79" personId="{BC5A405B-D90E-47DA-97AD-B30EE9078C35}" id="{42B2A22A-BBF0-4AD7-805A-B5C0D555D202}">
    <text>456 mil + 228 cada gatilho</text>
  </threadedComment>
  <threadedComment ref="D6" dT="2025-04-25T14:51:11.40" personId="{BC5A405B-D90E-47DA-97AD-B30EE9078C35}" id="{8602B04D-C43C-4842-B8BC-38173156FFD6}">
    <text>400 mil inicial / cada gatilho 200 mil</text>
  </threadedComment>
  <threadedComment ref="D7" dT="2025-04-23T13:07:41.90" personId="{BC5A405B-D90E-47DA-97AD-B30EE9078C35}" id="{AE78D7E3-74A3-408C-8B84-454F27F6F2E9}">
    <text>375 MIL CADA INCLUSIVE PREMIO INICIAL</text>
  </threadedComment>
  <threadedComment ref="D8" dT="2025-04-08T13:52:23.58" personId="{BC5A405B-D90E-47DA-97AD-B30EE9078C35}" id="{79DE3870-E9EA-4A29-BFD5-EE57632292E3}">
    <text>528 MIL + 452 CADA GATILHO</text>
  </threadedComment>
  <threadedComment ref="D8" dT="2025-04-08T19:00:30.25" personId="{BC5A405B-D90E-47DA-97AD-B30EE9078C35}" id="{4D306DEC-0D76-4388-9504-6E1477114A38}" parentId="{79DE3870-E9EA-4A29-BFD5-EE57632292E3}">
    <text>55% permissivel</text>
  </threadedComment>
  <threadedComment ref="I8" dT="2025-04-08T13:58:41.78" personId="{BC5A405B-D90E-47DA-97AD-B30EE9078C35}" id="{C28FDEFA-2908-4D16-B998-EBD56FF703A0}">
    <text>67 MIL CADA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406EE-0985-477E-A45C-B3BBBD52CE04}">
  <sheetPr>
    <pageSetUpPr fitToPage="1"/>
  </sheetPr>
  <dimension ref="E1:N17"/>
  <sheetViews>
    <sheetView showGridLines="0" tabSelected="1" zoomScale="50" zoomScaleNormal="50" workbookViewId="0">
      <selection activeCell="G4" sqref="G4"/>
    </sheetView>
  </sheetViews>
  <sheetFormatPr defaultRowHeight="14.4" x14ac:dyDescent="0.3"/>
  <cols>
    <col min="5" max="5" width="49.33203125" customWidth="1"/>
    <col min="6" max="6" width="43.5546875" customWidth="1"/>
    <col min="7" max="7" width="43.44140625" bestFit="1" customWidth="1"/>
    <col min="8" max="8" width="33.109375" customWidth="1"/>
    <col min="9" max="11" width="45.88671875" customWidth="1"/>
    <col min="12" max="12" width="70" customWidth="1"/>
    <col min="13" max="13" width="44.88671875" bestFit="1" customWidth="1"/>
    <col min="14" max="14" width="45.88671875" customWidth="1"/>
  </cols>
  <sheetData>
    <row r="1" spans="5:14" ht="87" customHeight="1" thickBot="1" x14ac:dyDescent="0.35">
      <c r="E1" s="3"/>
      <c r="F1" s="4"/>
      <c r="G1" s="4"/>
      <c r="H1" s="6" t="s">
        <v>0</v>
      </c>
      <c r="I1" s="6"/>
      <c r="J1" s="6"/>
      <c r="K1" s="6"/>
      <c r="L1" s="4"/>
      <c r="M1" s="6"/>
      <c r="N1" s="7"/>
    </row>
    <row r="2" spans="5:14" ht="45.75" customHeight="1" thickBot="1" x14ac:dyDescent="0.35">
      <c r="E2" s="1" t="s">
        <v>1</v>
      </c>
      <c r="F2" s="1" t="s">
        <v>2</v>
      </c>
      <c r="G2" s="2" t="s">
        <v>3</v>
      </c>
      <c r="H2" s="2" t="s">
        <v>4</v>
      </c>
      <c r="I2" s="2" t="s">
        <v>5</v>
      </c>
      <c r="J2" s="2" t="s">
        <v>6</v>
      </c>
      <c r="K2" s="2" t="s">
        <v>7</v>
      </c>
      <c r="L2" s="1" t="s">
        <v>8</v>
      </c>
      <c r="M2" s="2" t="s">
        <v>9</v>
      </c>
      <c r="N2" s="2" t="s">
        <v>10</v>
      </c>
    </row>
    <row r="3" spans="5:14" s="102" customFormat="1" ht="148.5" customHeight="1" x14ac:dyDescent="0.3">
      <c r="E3" s="97" t="s">
        <v>452</v>
      </c>
      <c r="F3" s="98" t="s">
        <v>12</v>
      </c>
      <c r="G3" s="99" t="s">
        <v>460</v>
      </c>
      <c r="H3" s="99" t="inlineStr">
        <is>
          <t xml:space="preserve">Sura
Fairfax
Axa</t>
        </is>
      </c>
      <c r="I3" s="100"/>
      <c r="J3" s="100"/>
      <c r="K3" s="100"/>
      <c r="L3" s="100" t="inlineStr">
        <is>
          <t xml:space="preserve">AXA: R$ 63.360 (12m) ou R$ 54.490/ano (24m)
Fairfax: R$ 88.704 (12m) ou R$ 76.032/ano (24m)
Sura: R$ 266.112 (12m)
DM 250 mil | DC 350 mil | Contenção 30 mil | Franquia isenta</t>
        </is>
      </c>
      <c r="M3" s="101" t="inlineStr">
        <is>
          <t xml:space="preserve">SIM</t>
        </is>
      </c>
      <c r="N3" s="100"/>
    </row>
    <row r="4" spans="5:14" s="102" customFormat="1" ht="174" customHeight="1" x14ac:dyDescent="0.3">
      <c r="E4" s="97" t="s">
        <v>14</v>
      </c>
      <c r="F4" s="98" t="s">
        <v>15</v>
      </c>
      <c r="G4" s="99" t="inlineStr">
        <is>
          <t xml:space="preserve">Akad Seguros (Detentora)
AIG Seguros</t>
        </is>
      </c>
      <c r="H4" s="99" t="inlineStr">
        <is>
          <t xml:space="preserve">Akad Seguros
AIG (A | G)</t>
        </is>
      </c>
      <c r="I4" s="103"/>
      <c r="J4" s="100"/>
      <c r="K4" s="103"/>
      <c r="L4" s="100" t="inlineStr">
        <is>
          <t xml:space="preserve">Akad: R$ 5,50/viagem (12m) ou R$ 5,00 (24m)
AIG: R$ 4,00/viagem (12m) ou R$ 3,50 (24m)
DM 160 mil | DC 280 mil | Morais 28-30 mil
Mínimo R$ 350/mês</t>
        </is>
      </c>
      <c r="M4" s="101" t="inlineStr">
        <is>
          <t xml:space="preserve">SIM</t>
        </is>
      </c>
      <c r="N4" s="100"/>
    </row>
    <row r="5" spans="5:14" s="102" customFormat="1" ht="136.5" customHeight="1" x14ac:dyDescent="0.3">
      <c r="E5" s="104" t="s">
        <v>21</v>
      </c>
      <c r="F5" s="105" t="s">
        <v>455</v>
      </c>
      <c r="G5" s="98" t="s">
        <v>459</v>
      </c>
      <c r="H5" s="99" t="inlineStr">
        <is>
          <t xml:space="preserve">Grupo HDI</t>
        </is>
      </c>
      <c r="I5" s="100"/>
      <c r="J5" s="100"/>
      <c r="K5" s="100"/>
      <c r="L5" s="100" t="inlineStr">
        <is>
          <t xml:space="preserve">Não apresentou proposta</t>
        </is>
      </c>
      <c r="M5" s="101" t="inlineStr">
        <is>
          <t xml:space="preserve">NÃO</t>
        </is>
      </c>
      <c r="N5" s="100"/>
    </row>
    <row r="6" spans="5:14" s="102" customFormat="1" ht="128.25" customHeight="1" x14ac:dyDescent="0.3">
      <c r="E6" s="97" t="s">
        <v>453</v>
      </c>
      <c r="F6" s="105" t="s">
        <v>456</v>
      </c>
      <c r="G6" s="98" t="s">
        <v>458</v>
      </c>
      <c r="H6" s="106" t="inlineStr">
        <is>
          <t xml:space="preserve">Essor Seguradora</t>
        </is>
      </c>
      <c r="I6" s="106"/>
      <c r="J6" s="106"/>
      <c r="K6" s="106"/>
      <c r="L6" s="100" t="inlineStr">
        <is>
          <t xml:space="preserve">Essor: ajustável R$ 76.032 (R$ 3,00/viagem) ou averbável R$ 4,00/viagem (mín. R$ 300/mês)
DM 200 mil | DC 350 mil | Contenção 10 mil</t>
        </is>
      </c>
      <c r="M6" s="100" t="inlineStr">
        <is>
          <t xml:space="preserve">SIM</t>
        </is>
      </c>
      <c r="N6" s="100"/>
    </row>
    <row r="7" spans="5:14" s="102" customFormat="1" ht="136.5" customHeight="1" x14ac:dyDescent="0.3">
      <c r="E7" s="107" t="s">
        <v>454</v>
      </c>
      <c r="F7" s="105" t="s">
        <v>457</v>
      </c>
      <c r="G7" s="98" t="s">
        <v>461</v>
      </c>
      <c r="H7" s="99" t="inlineStr">
        <is>
          <t xml:space="preserve">Sompo Seguros</t>
        </is>
      </c>
      <c r="I7" s="100"/>
      <c r="J7" s="100"/>
      <c r="K7" s="100"/>
      <c r="L7" s="100" t="inlineStr">
        <is>
          <t xml:space="preserve">Não apresentou proposta</t>
        </is>
      </c>
      <c r="M7" s="101" t="inlineStr">
        <is>
          <t xml:space="preserve">NÃO</t>
        </is>
      </c>
      <c r="N7" s="100"/>
    </row>
    <row r="8" spans="5:14" s="102" customFormat="1" ht="136.5" customHeight="1" x14ac:dyDescent="0.3">
      <c r="E8" s="107"/>
      <c r="F8" s="105"/>
      <c r="G8" s="108"/>
      <c r="H8" s="99"/>
      <c r="I8" s="100"/>
      <c r="J8" s="100"/>
      <c r="K8" s="100"/>
      <c r="L8" s="100"/>
      <c r="M8" s="100"/>
      <c r="N8" s="100"/>
    </row>
    <row r="9" spans="5:14" s="102" customFormat="1" ht="136.5" customHeight="1" x14ac:dyDescent="0.3">
      <c r="E9" s="107"/>
      <c r="F9" s="105"/>
      <c r="G9" s="108"/>
      <c r="H9" s="99"/>
      <c r="I9" s="100"/>
      <c r="J9" s="100"/>
      <c r="K9" s="100"/>
      <c r="L9" s="109"/>
      <c r="M9" s="110"/>
      <c r="N9" s="111"/>
    </row>
    <row r="10" spans="5:14" s="102" customFormat="1" ht="136.5" customHeight="1" x14ac:dyDescent="0.3">
      <c r="E10" s="107"/>
      <c r="F10" s="98"/>
      <c r="G10" s="108"/>
      <c r="H10" s="108"/>
      <c r="I10" s="108"/>
      <c r="J10" s="108"/>
      <c r="K10" s="108"/>
      <c r="L10" s="112"/>
      <c r="M10" s="113"/>
      <c r="N10" s="114"/>
    </row>
    <row r="11" spans="5:14" s="102" customFormat="1" ht="136.5" customHeight="1" x14ac:dyDescent="0.3">
      <c r="E11" s="107"/>
      <c r="F11" s="107"/>
      <c r="G11" s="107"/>
      <c r="H11" s="107"/>
      <c r="I11" s="107"/>
      <c r="J11" s="107"/>
      <c r="K11" s="107"/>
      <c r="L11" s="112"/>
      <c r="M11" s="113"/>
      <c r="N11" s="114"/>
    </row>
    <row r="12" spans="5:14" s="102" customFormat="1" ht="136.5" customHeight="1" x14ac:dyDescent="0.3">
      <c r="E12" s="107"/>
      <c r="F12" s="105"/>
      <c r="G12" s="99"/>
      <c r="H12" s="99"/>
      <c r="I12" s="115"/>
      <c r="J12" s="115"/>
      <c r="K12" s="115"/>
      <c r="L12" s="116"/>
      <c r="M12" s="110"/>
      <c r="N12" s="111"/>
    </row>
    <row r="13" spans="5:14" s="102" customFormat="1" ht="136.5" customHeight="1" x14ac:dyDescent="0.3">
      <c r="E13" s="107"/>
      <c r="F13" s="105"/>
      <c r="G13" s="108"/>
      <c r="H13" s="108"/>
      <c r="I13" s="108"/>
      <c r="J13" s="108"/>
      <c r="K13" s="108"/>
      <c r="L13" s="116"/>
      <c r="M13" s="110"/>
      <c r="N13" s="111"/>
    </row>
    <row r="14" spans="5:14" s="102" customFormat="1" ht="136.5" customHeight="1" x14ac:dyDescent="0.3">
      <c r="E14" s="107"/>
      <c r="F14" s="98"/>
      <c r="G14" s="108"/>
      <c r="H14" s="108"/>
      <c r="I14" s="108"/>
      <c r="J14" s="108"/>
      <c r="K14" s="108"/>
      <c r="L14" s="112"/>
      <c r="M14" s="113"/>
      <c r="N14" s="114"/>
    </row>
    <row r="15" spans="5:14" s="102" customFormat="1" ht="136.5" customHeight="1" x14ac:dyDescent="0.3">
      <c r="E15" s="107"/>
      <c r="F15" s="98"/>
      <c r="G15" s="99"/>
      <c r="H15" s="99"/>
      <c r="I15" s="100"/>
      <c r="J15" s="100"/>
      <c r="K15" s="100"/>
      <c r="L15" s="117"/>
      <c r="M15" s="118"/>
      <c r="N15" s="119"/>
    </row>
    <row r="16" spans="5:14" s="102" customFormat="1" ht="136.5" customHeight="1" x14ac:dyDescent="0.3">
      <c r="E16" s="107"/>
      <c r="F16" s="105"/>
      <c r="G16" s="108"/>
      <c r="H16" s="108"/>
      <c r="I16" s="108"/>
      <c r="J16" s="108"/>
      <c r="K16" s="108"/>
      <c r="L16" s="112"/>
      <c r="M16" s="113"/>
      <c r="N16" s="114"/>
    </row>
    <row r="17" spans="5:14" s="102" customFormat="1" ht="136.5" customHeight="1" x14ac:dyDescent="0.3">
      <c r="E17" s="107"/>
      <c r="F17" s="105"/>
      <c r="G17" s="108"/>
      <c r="H17" s="108"/>
      <c r="I17" s="108"/>
      <c r="J17" s="108"/>
      <c r="K17" s="108"/>
      <c r="L17" s="112"/>
      <c r="M17" s="113"/>
      <c r="N17" s="114"/>
    </row>
  </sheetData>
  <autoFilter ref="E2:N14" xr:uid="{6A1406EE-0985-477E-A45C-B3BBBD52CE04}"/>
  <mergeCells count="9">
    <mergeCell ref="L9:N9"/>
    <mergeCell ref="L14:N14"/>
    <mergeCell ref="L16:N16"/>
    <mergeCell ref="L17:N17"/>
    <mergeCell ref="L12:N12"/>
    <mergeCell ref="L13:N13"/>
    <mergeCell ref="L11:N11"/>
    <mergeCell ref="L10:N10"/>
    <mergeCell ref="L15:N15"/>
  </mergeCells>
  <conditionalFormatting sqref="G3:G4 G12:G17 G8:G10">
    <cfRule type="duplicateValues" dxfId="8" priority="29"/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  <cfRule type="duplicateValues" dxfId="7" priority="31"/>
    <cfRule type="cellIs" dxfId="6" priority="32" operator="equal">
      <formula>"texto"</formula>
    </cfRule>
  </conditionalFormatting>
  <pageMargins left="0.25" right="0.25" top="0.75" bottom="0.75" header="0.3" footer="0.3"/>
  <pageSetup paperSize="9" scale="21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2666F-4FE6-4ACB-A9BC-6327087B0669}">
  <dimension ref="A2:N23"/>
  <sheetViews>
    <sheetView showGridLines="0" zoomScale="70" zoomScaleNormal="70" workbookViewId="0">
      <selection activeCell="A3" sqref="A3"/>
    </sheetView>
  </sheetViews>
  <sheetFormatPr defaultColWidth="9" defaultRowHeight="14.4" x14ac:dyDescent="0.3"/>
  <cols>
    <col min="1" max="1" width="8.109375" style="11" customWidth="1"/>
    <col min="2" max="2" width="23.44140625" style="11" bestFit="1" customWidth="1"/>
    <col min="3" max="3" width="21" style="11" bestFit="1" customWidth="1"/>
    <col min="4" max="4" width="16.88671875" style="11" customWidth="1"/>
    <col min="5" max="5" width="18.88671875" style="11" customWidth="1"/>
    <col min="6" max="6" width="27.44140625" style="11" bestFit="1" customWidth="1"/>
    <col min="7" max="7" width="21.6640625" style="11" customWidth="1"/>
    <col min="8" max="8" width="31" style="11" customWidth="1"/>
    <col min="9" max="9" width="23" style="11" customWidth="1"/>
    <col min="10" max="10" width="20.44140625" style="11" bestFit="1" customWidth="1"/>
    <col min="11" max="11" width="22.88671875" style="11" customWidth="1"/>
    <col min="12" max="12" width="22.109375" style="11" customWidth="1"/>
    <col min="13" max="13" width="28.109375" style="11" bestFit="1" customWidth="1"/>
    <col min="14" max="14" width="17.88671875" style="11" bestFit="1" customWidth="1"/>
    <col min="15" max="16384" width="9" style="11"/>
  </cols>
  <sheetData>
    <row r="2" spans="1:13" ht="36" x14ac:dyDescent="0.3">
      <c r="B2" s="26" t="s">
        <v>22</v>
      </c>
      <c r="C2" s="27" t="s">
        <v>23</v>
      </c>
      <c r="D2" s="27" t="s">
        <v>29</v>
      </c>
      <c r="E2" s="28" t="s">
        <v>24</v>
      </c>
      <c r="F2" s="28" t="s">
        <v>29</v>
      </c>
      <c r="G2" s="28" t="s">
        <v>25</v>
      </c>
      <c r="H2" s="28" t="s">
        <v>39</v>
      </c>
      <c r="I2" s="28" t="s">
        <v>28</v>
      </c>
      <c r="J2" s="28" t="s">
        <v>29</v>
      </c>
      <c r="K2" s="28" t="s">
        <v>26</v>
      </c>
      <c r="L2" s="28" t="s">
        <v>27</v>
      </c>
      <c r="M2" s="28" t="s">
        <v>40</v>
      </c>
    </row>
    <row r="3" spans="1:13" ht="15.6" x14ac:dyDescent="0.3">
      <c r="B3" s="22" t="s">
        <v>30</v>
      </c>
      <c r="C3" s="12">
        <v>1928747.1</v>
      </c>
      <c r="D3" s="10" t="s">
        <v>31</v>
      </c>
      <c r="E3" s="12">
        <v>55517.97</v>
      </c>
      <c r="F3" s="5" t="s">
        <v>35</v>
      </c>
      <c r="G3" s="5" t="s">
        <v>37</v>
      </c>
      <c r="H3" s="5" t="s">
        <v>38</v>
      </c>
      <c r="I3" s="12">
        <v>140496.78</v>
      </c>
      <c r="J3" s="10" t="s">
        <v>34</v>
      </c>
      <c r="K3" s="5" t="s">
        <v>38</v>
      </c>
      <c r="L3" s="10" t="s">
        <v>36</v>
      </c>
      <c r="M3" s="10" t="s">
        <v>38</v>
      </c>
    </row>
    <row r="4" spans="1:13" ht="114" customHeight="1" x14ac:dyDescent="0.3">
      <c r="B4" s="9" t="s">
        <v>14</v>
      </c>
      <c r="C4" s="15">
        <v>1319670.07</v>
      </c>
      <c r="D4" s="14" t="s">
        <v>42</v>
      </c>
      <c r="E4" s="14">
        <v>84117.65</v>
      </c>
      <c r="F4" s="10" t="s">
        <v>35</v>
      </c>
      <c r="G4" s="19" t="s">
        <v>43</v>
      </c>
      <c r="H4" s="10" t="s">
        <v>51</v>
      </c>
      <c r="I4" s="14" t="s">
        <v>44</v>
      </c>
      <c r="J4" s="10" t="s">
        <v>44</v>
      </c>
      <c r="K4" s="10" t="s">
        <v>45</v>
      </c>
      <c r="L4" s="10" t="s">
        <v>46</v>
      </c>
      <c r="M4" s="10" t="s">
        <v>47</v>
      </c>
    </row>
    <row r="5" spans="1:13" ht="117" customHeight="1" x14ac:dyDescent="0.3">
      <c r="A5" s="23"/>
      <c r="B5" s="9" t="s">
        <v>53</v>
      </c>
      <c r="C5" s="17">
        <v>1142197.2</v>
      </c>
      <c r="D5" s="10" t="s">
        <v>42</v>
      </c>
      <c r="E5" s="13">
        <v>65817.62</v>
      </c>
      <c r="F5" s="10" t="s">
        <v>35</v>
      </c>
      <c r="G5" s="10" t="s">
        <v>447</v>
      </c>
      <c r="H5" s="10" t="s">
        <v>448</v>
      </c>
      <c r="I5" s="14" t="s">
        <v>44</v>
      </c>
      <c r="J5" s="10" t="s">
        <v>44</v>
      </c>
      <c r="K5" s="10" t="s">
        <v>45</v>
      </c>
      <c r="L5" s="10" t="s">
        <v>55</v>
      </c>
      <c r="M5" s="10" t="s">
        <v>47</v>
      </c>
    </row>
    <row r="6" spans="1:13" ht="114" customHeight="1" x14ac:dyDescent="0.3">
      <c r="B6" s="9" t="s">
        <v>439</v>
      </c>
      <c r="C6" s="15">
        <v>1000000</v>
      </c>
      <c r="D6" s="14" t="s">
        <v>42</v>
      </c>
      <c r="E6" s="14">
        <v>50000</v>
      </c>
      <c r="F6" s="10" t="s">
        <v>35</v>
      </c>
      <c r="G6" s="19" t="s">
        <v>440</v>
      </c>
      <c r="H6" s="10" t="s">
        <v>449</v>
      </c>
      <c r="I6" s="14">
        <v>160000</v>
      </c>
      <c r="J6" s="10" t="s">
        <v>34</v>
      </c>
      <c r="K6" s="10" t="s">
        <v>450</v>
      </c>
      <c r="L6" s="10" t="s">
        <v>36</v>
      </c>
      <c r="M6" s="10" t="s">
        <v>41</v>
      </c>
    </row>
    <row r="7" spans="1:13" ht="114" customHeight="1" x14ac:dyDescent="0.3">
      <c r="B7" s="9" t="s">
        <v>438</v>
      </c>
      <c r="C7" s="15">
        <v>1499999.49</v>
      </c>
      <c r="D7" s="14" t="s">
        <v>431</v>
      </c>
      <c r="E7" s="14">
        <v>49000</v>
      </c>
      <c r="F7" s="10" t="s">
        <v>35</v>
      </c>
      <c r="G7" s="10" t="s">
        <v>32</v>
      </c>
      <c r="H7" s="10" t="s">
        <v>443</v>
      </c>
      <c r="I7" s="14">
        <v>134000.04999999999</v>
      </c>
      <c r="J7" s="10" t="s">
        <v>34</v>
      </c>
      <c r="K7" s="10" t="s">
        <v>38</v>
      </c>
      <c r="L7" s="10" t="s">
        <v>36</v>
      </c>
      <c r="M7" s="10" t="s">
        <v>41</v>
      </c>
    </row>
    <row r="8" spans="1:13" ht="74.25" customHeight="1" x14ac:dyDescent="0.3">
      <c r="A8" s="23"/>
      <c r="B8" s="9" t="s">
        <v>11</v>
      </c>
      <c r="C8" s="13">
        <v>1885684.67</v>
      </c>
      <c r="D8" s="10" t="s">
        <v>31</v>
      </c>
      <c r="E8" s="13">
        <v>53000</v>
      </c>
      <c r="F8" s="10" t="s">
        <v>35</v>
      </c>
      <c r="G8" s="10" t="s">
        <v>32</v>
      </c>
      <c r="H8" s="10" t="s">
        <v>33</v>
      </c>
      <c r="I8" s="13">
        <v>134000.04999999999</v>
      </c>
      <c r="J8" s="10" t="s">
        <v>34</v>
      </c>
      <c r="K8" s="10" t="s">
        <v>38</v>
      </c>
      <c r="L8" s="10" t="s">
        <v>36</v>
      </c>
      <c r="M8" s="10" t="s">
        <v>41</v>
      </c>
    </row>
    <row r="10" spans="1:13" x14ac:dyDescent="0.3">
      <c r="B10" s="95" t="s">
        <v>446</v>
      </c>
      <c r="C10" s="96"/>
      <c r="E10" s="95" t="s">
        <v>441</v>
      </c>
      <c r="F10" s="96"/>
      <c r="H10" s="95" t="s">
        <v>442</v>
      </c>
      <c r="I10" s="96"/>
      <c r="K10" s="95" t="s">
        <v>444</v>
      </c>
      <c r="L10" s="96"/>
    </row>
    <row r="11" spans="1:13" x14ac:dyDescent="0.3">
      <c r="B11" s="16" t="s">
        <v>14</v>
      </c>
      <c r="C11" s="13">
        <f>C4+E4</f>
        <v>1403787.72</v>
      </c>
      <c r="E11" s="16" t="s">
        <v>14</v>
      </c>
      <c r="F11" s="13">
        <f>C5+E5</f>
        <v>1208014.8199999998</v>
      </c>
      <c r="H11" s="16" t="s">
        <v>14</v>
      </c>
      <c r="I11" s="13">
        <f>C5+E5</f>
        <v>1208014.8199999998</v>
      </c>
      <c r="K11" s="16" t="s">
        <v>14</v>
      </c>
      <c r="L11" s="13">
        <f>C5+E5</f>
        <v>1208014.8199999998</v>
      </c>
    </row>
    <row r="12" spans="1:13" x14ac:dyDescent="0.3">
      <c r="B12" s="16" t="s">
        <v>11</v>
      </c>
      <c r="C12" s="13">
        <f>C8+E8+I8</f>
        <v>2072684.72</v>
      </c>
      <c r="E12" s="16" t="s">
        <v>11</v>
      </c>
      <c r="F12" s="13">
        <f>C8+E8+I8</f>
        <v>2072684.72</v>
      </c>
      <c r="H12" s="16" t="s">
        <v>11</v>
      </c>
      <c r="I12" s="13">
        <f>C7+I7+E7</f>
        <v>1682999.54</v>
      </c>
      <c r="K12" s="16" t="s">
        <v>11</v>
      </c>
      <c r="L12" s="13">
        <f>C6+E6+I6</f>
        <v>1210000</v>
      </c>
    </row>
    <row r="13" spans="1:13" x14ac:dyDescent="0.3">
      <c r="C13" s="85"/>
      <c r="F13" s="85"/>
      <c r="I13" s="85"/>
      <c r="L13" s="85"/>
    </row>
    <row r="14" spans="1:13" x14ac:dyDescent="0.3">
      <c r="B14" s="16" t="s">
        <v>432</v>
      </c>
      <c r="C14" s="17">
        <f>C12-C11</f>
        <v>668897</v>
      </c>
      <c r="E14" s="16" t="s">
        <v>432</v>
      </c>
      <c r="F14" s="17">
        <f>F12-F11</f>
        <v>864669.90000000014</v>
      </c>
      <c r="H14" s="16" t="s">
        <v>432</v>
      </c>
      <c r="I14" s="17">
        <f>I12-I11</f>
        <v>474984.7200000002</v>
      </c>
      <c r="K14" s="16" t="s">
        <v>432</v>
      </c>
      <c r="L14" s="17">
        <f>L12-L11</f>
        <v>1985.1800000001676</v>
      </c>
    </row>
    <row r="16" spans="1:13" x14ac:dyDescent="0.3">
      <c r="B16" s="16" t="s">
        <v>432</v>
      </c>
      <c r="C16" s="86">
        <f>C14/C12</f>
        <v>0.32272009029911697</v>
      </c>
      <c r="E16" s="16" t="s">
        <v>432</v>
      </c>
      <c r="F16" s="86">
        <f>F14/F12</f>
        <v>0.41717386713788296</v>
      </c>
      <c r="H16" s="16" t="s">
        <v>432</v>
      </c>
      <c r="I16" s="86">
        <f>I14/I12</f>
        <v>0.28222510387614258</v>
      </c>
      <c r="K16" s="16" t="s">
        <v>432</v>
      </c>
      <c r="L16" s="87">
        <f>L14/L12</f>
        <v>1.6406446280993121E-3</v>
      </c>
    </row>
    <row r="19" spans="2:14" ht="45.6" x14ac:dyDescent="0.3">
      <c r="B19" s="8" t="s">
        <v>18</v>
      </c>
      <c r="C19" s="92" t="s">
        <v>433</v>
      </c>
      <c r="D19" s="93"/>
      <c r="E19" s="93"/>
      <c r="F19" s="93"/>
      <c r="G19" s="93"/>
      <c r="H19" s="93"/>
      <c r="I19" s="93"/>
      <c r="J19" s="93"/>
      <c r="K19" s="94"/>
      <c r="L19" s="16" t="s">
        <v>54</v>
      </c>
      <c r="M19" s="24">
        <v>1217522.1000000001</v>
      </c>
    </row>
    <row r="20" spans="2:14" ht="25.8" x14ac:dyDescent="0.3">
      <c r="B20" s="8" t="s">
        <v>20</v>
      </c>
      <c r="C20" s="92" t="s">
        <v>434</v>
      </c>
      <c r="D20" s="93"/>
      <c r="E20" s="93"/>
      <c r="F20" s="93"/>
      <c r="G20" s="93"/>
      <c r="H20" s="93"/>
      <c r="I20" s="93"/>
      <c r="J20" s="93"/>
      <c r="K20" s="94"/>
      <c r="L20" s="10" t="s">
        <v>50</v>
      </c>
      <c r="M20" s="25">
        <v>2699997.37</v>
      </c>
      <c r="N20" s="23">
        <f>M20/2</f>
        <v>1349998.6850000001</v>
      </c>
    </row>
    <row r="21" spans="2:14" ht="30" customHeight="1" x14ac:dyDescent="0.3">
      <c r="B21" s="21" t="s">
        <v>17</v>
      </c>
      <c r="C21" s="92" t="s">
        <v>435</v>
      </c>
      <c r="D21" s="93"/>
      <c r="E21" s="93"/>
      <c r="F21" s="93"/>
      <c r="G21" s="93"/>
      <c r="H21" s="93"/>
      <c r="I21" s="93"/>
      <c r="J21" s="93"/>
      <c r="K21" s="94"/>
      <c r="L21" s="16" t="s">
        <v>48</v>
      </c>
      <c r="M21" s="25">
        <v>1960102.62</v>
      </c>
    </row>
    <row r="22" spans="2:14" ht="36" customHeight="1" x14ac:dyDescent="0.3">
      <c r="B22" s="21" t="s">
        <v>16</v>
      </c>
      <c r="C22" s="92" t="s">
        <v>436</v>
      </c>
      <c r="D22" s="93"/>
      <c r="E22" s="93"/>
      <c r="F22" s="93"/>
      <c r="G22" s="93"/>
      <c r="H22" s="93"/>
      <c r="I22" s="93"/>
      <c r="J22" s="93"/>
      <c r="K22" s="94"/>
      <c r="L22" s="16" t="s">
        <v>48</v>
      </c>
      <c r="M22" s="25" t="s">
        <v>56</v>
      </c>
    </row>
    <row r="23" spans="2:14" ht="25.8" x14ac:dyDescent="0.3">
      <c r="B23" s="8" t="s">
        <v>19</v>
      </c>
      <c r="C23" s="92" t="s">
        <v>437</v>
      </c>
      <c r="D23" s="93"/>
      <c r="E23" s="93"/>
      <c r="F23" s="93"/>
      <c r="G23" s="93"/>
      <c r="H23" s="93"/>
      <c r="I23" s="93"/>
      <c r="J23" s="93"/>
      <c r="K23" s="94"/>
      <c r="L23" s="10" t="s">
        <v>50</v>
      </c>
      <c r="M23" s="25" t="s">
        <v>52</v>
      </c>
    </row>
  </sheetData>
  <mergeCells count="9">
    <mergeCell ref="C23:K23"/>
    <mergeCell ref="B10:C10"/>
    <mergeCell ref="H10:I10"/>
    <mergeCell ref="K10:L10"/>
    <mergeCell ref="E10:F10"/>
    <mergeCell ref="C19:K19"/>
    <mergeCell ref="C22:K22"/>
    <mergeCell ref="C21:K21"/>
    <mergeCell ref="C20:K20"/>
  </mergeCells>
  <phoneticPr fontId="16" type="noConversion"/>
  <hyperlinks>
    <hyperlink ref="G4" location="'.'!A1" display="10 opções de proposta" xr:uid="{48FEE80C-ACB5-4FC5-B0AB-D3675BC3641E}"/>
  </hyperlinks>
  <pageMargins left="0.511811024" right="0.511811024" top="0.78740157499999996" bottom="0.78740157499999996" header="0.31496062000000002" footer="0.31496062000000002"/>
  <pageSetup paperSize="9" orientation="portrait" horizontalDpi="4294967293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EACE3-01A1-46EB-BDA7-9D625743A952}">
  <dimension ref="B3:Q44"/>
  <sheetViews>
    <sheetView showGridLines="0" topLeftCell="A37" workbookViewId="0">
      <selection activeCell="D52" sqref="D52"/>
    </sheetView>
  </sheetViews>
  <sheetFormatPr defaultRowHeight="14.4" x14ac:dyDescent="0.3"/>
  <cols>
    <col min="1" max="1" width="0.5546875" customWidth="1"/>
  </cols>
  <sheetData>
    <row r="3" spans="2:17" x14ac:dyDescent="0.3">
      <c r="B3" s="18" t="s">
        <v>49</v>
      </c>
      <c r="Q3" s="20"/>
    </row>
    <row r="4" spans="2:17" x14ac:dyDescent="0.3">
      <c r="Q4" s="20"/>
    </row>
    <row r="5" spans="2:17" x14ac:dyDescent="0.3">
      <c r="Q5" s="20"/>
    </row>
    <row r="6" spans="2:17" x14ac:dyDescent="0.3">
      <c r="Q6" s="20"/>
    </row>
    <row r="7" spans="2:17" x14ac:dyDescent="0.3">
      <c r="Q7" s="20"/>
    </row>
    <row r="8" spans="2:17" x14ac:dyDescent="0.3">
      <c r="Q8" s="20"/>
    </row>
    <row r="9" spans="2:17" x14ac:dyDescent="0.3">
      <c r="Q9" s="20"/>
    </row>
    <row r="10" spans="2:17" x14ac:dyDescent="0.3">
      <c r="Q10" s="20"/>
    </row>
    <row r="11" spans="2:17" x14ac:dyDescent="0.3">
      <c r="Q11" s="20"/>
    </row>
    <row r="12" spans="2:17" x14ac:dyDescent="0.3">
      <c r="Q12" s="20"/>
    </row>
    <row r="13" spans="2:17" x14ac:dyDescent="0.3">
      <c r="Q13" s="20"/>
    </row>
    <row r="14" spans="2:17" x14ac:dyDescent="0.3">
      <c r="Q14" s="20"/>
    </row>
    <row r="44" spans="10:10" x14ac:dyDescent="0.3">
      <c r="J44" t="s">
        <v>445</v>
      </c>
    </row>
  </sheetData>
  <hyperlinks>
    <hyperlink ref="B3" location="'COMPARATIVO SEGURADORA '!A1" display="voltar" xr:uid="{B2CF599B-FEF2-4ED5-8F35-20B87C6B3BC2}"/>
  </hyperlink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FD7CC-8F3F-4795-BD87-A372870CD7B2}">
  <sheetPr>
    <tabColor rgb="FFE11B22"/>
    <pageSetUpPr fitToPage="1"/>
  </sheetPr>
  <dimension ref="A1:P140"/>
  <sheetViews>
    <sheetView showGridLines="0" topLeftCell="A63" zoomScale="90" zoomScaleNormal="90" workbookViewId="0">
      <selection activeCell="N135" sqref="N135"/>
    </sheetView>
  </sheetViews>
  <sheetFormatPr defaultColWidth="10.88671875" defaultRowHeight="13.8" x14ac:dyDescent="0.3"/>
  <cols>
    <col min="1" max="1" width="4.88671875" style="29" bestFit="1" customWidth="1"/>
    <col min="2" max="2" width="32.109375" style="29" bestFit="1" customWidth="1"/>
    <col min="3" max="3" width="26.6640625" style="29" bestFit="1" customWidth="1"/>
    <col min="4" max="4" width="12" style="29" bestFit="1" customWidth="1"/>
    <col min="5" max="5" width="14.109375" style="29" customWidth="1"/>
    <col min="6" max="6" width="35.33203125" style="32" bestFit="1" customWidth="1"/>
    <col min="7" max="7" width="57.5546875" style="32" bestFit="1" customWidth="1"/>
    <col min="8" max="8" width="7.44140625" style="31" customWidth="1"/>
    <col min="9" max="9" width="6.6640625" style="29" customWidth="1"/>
    <col min="10" max="10" width="10" style="29" customWidth="1"/>
    <col min="11" max="11" width="21" style="31" customWidth="1"/>
    <col min="12" max="12" width="10.88671875" style="31" customWidth="1"/>
    <col min="13" max="13" width="18.6640625" style="30" customWidth="1"/>
    <col min="14" max="15" width="23.109375" style="30" customWidth="1"/>
    <col min="16" max="16" width="16.33203125" style="30" bestFit="1" customWidth="1"/>
    <col min="17" max="16384" width="10.88671875" style="29"/>
  </cols>
  <sheetData>
    <row r="1" spans="1:16" x14ac:dyDescent="0.3">
      <c r="A1" s="90" t="s">
        <v>430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</row>
    <row r="2" spans="1:16" ht="36.75" customHeight="1" thickBot="1" x14ac:dyDescent="0.35">
      <c r="A2" s="91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</row>
    <row r="3" spans="1:16" ht="15" thickTop="1" thickBot="1" x14ac:dyDescent="0.35">
      <c r="A3" s="88"/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29"/>
    </row>
    <row r="4" spans="1:16" ht="15" thickTop="1" thickBot="1" x14ac:dyDescent="0.35">
      <c r="A4" s="89" t="s">
        <v>429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76"/>
      <c r="M4" s="89"/>
      <c r="N4" s="89"/>
      <c r="O4" s="89"/>
    </row>
    <row r="5" spans="1:16" ht="28.8" thickTop="1" thickBot="1" x14ac:dyDescent="0.35">
      <c r="A5" s="73" t="s">
        <v>428</v>
      </c>
      <c r="B5" s="73" t="s">
        <v>427</v>
      </c>
      <c r="C5" s="75" t="s">
        <v>426</v>
      </c>
      <c r="D5" s="75" t="s">
        <v>425</v>
      </c>
      <c r="E5" s="73" t="s">
        <v>424</v>
      </c>
      <c r="F5" s="75" t="s">
        <v>423</v>
      </c>
      <c r="G5" s="74" t="s">
        <v>422</v>
      </c>
      <c r="H5" s="73" t="s">
        <v>421</v>
      </c>
      <c r="I5" s="73" t="s">
        <v>420</v>
      </c>
      <c r="J5" s="73" t="s">
        <v>419</v>
      </c>
      <c r="K5" s="73" t="s">
        <v>418</v>
      </c>
      <c r="L5" s="73" t="s">
        <v>417</v>
      </c>
      <c r="M5" s="72" t="s">
        <v>416</v>
      </c>
      <c r="N5" s="71" t="s">
        <v>415</v>
      </c>
      <c r="O5" s="70" t="s">
        <v>414</v>
      </c>
      <c r="P5" s="69" t="s">
        <v>413</v>
      </c>
    </row>
    <row r="6" spans="1:16" s="31" customFormat="1" ht="14.4" thickTop="1" x14ac:dyDescent="0.3">
      <c r="A6" s="68">
        <v>114</v>
      </c>
      <c r="B6" s="68" t="s">
        <v>65</v>
      </c>
      <c r="C6" s="67" t="s">
        <v>64</v>
      </c>
      <c r="D6" s="67" t="s">
        <v>73</v>
      </c>
      <c r="E6" s="66" t="s">
        <v>303</v>
      </c>
      <c r="F6" s="65" t="s">
        <v>412</v>
      </c>
      <c r="G6" s="65" t="s">
        <v>411</v>
      </c>
      <c r="H6" s="64">
        <v>2025</v>
      </c>
      <c r="I6" s="64">
        <v>2025</v>
      </c>
      <c r="J6" s="64" t="s">
        <v>410</v>
      </c>
      <c r="K6" s="64" t="s">
        <v>409</v>
      </c>
      <c r="L6" s="64"/>
      <c r="M6" s="63">
        <v>41383.83</v>
      </c>
      <c r="N6" s="59">
        <v>50726.95</v>
      </c>
      <c r="O6" s="59">
        <f>Tabela1[[#This Row],[FRANQUIA AON-HDI]]-Tabela1[[#This Row],[FRANQUIA INTERBROK - SURA]]</f>
        <v>-9343.1199999999953</v>
      </c>
      <c r="P6" s="58" t="s">
        <v>315</v>
      </c>
    </row>
    <row r="7" spans="1:16" s="31" customFormat="1" x14ac:dyDescent="0.3">
      <c r="A7" s="39">
        <v>110</v>
      </c>
      <c r="B7" s="39" t="s">
        <v>65</v>
      </c>
      <c r="C7" s="41" t="s">
        <v>64</v>
      </c>
      <c r="D7" s="41" t="s">
        <v>73</v>
      </c>
      <c r="E7" s="40" t="s">
        <v>383</v>
      </c>
      <c r="F7" s="47" t="s">
        <v>408</v>
      </c>
      <c r="G7" s="47" t="s">
        <v>407</v>
      </c>
      <c r="H7" s="46">
        <v>2024</v>
      </c>
      <c r="I7" s="46">
        <v>2025</v>
      </c>
      <c r="J7" s="46" t="s">
        <v>406</v>
      </c>
      <c r="K7" s="46" t="s">
        <v>405</v>
      </c>
      <c r="L7" s="46">
        <v>35068</v>
      </c>
      <c r="M7" s="45">
        <v>13796.503499999999</v>
      </c>
      <c r="N7" s="59">
        <v>22316.5</v>
      </c>
      <c r="O7" s="59">
        <f>Tabela1[[#This Row],[FRANQUIA AON-HDI]]-Tabela1[[#This Row],[FRANQUIA INTERBROK - SURA]]</f>
        <v>-8519.9965000000011</v>
      </c>
      <c r="P7" s="58" t="s">
        <v>315</v>
      </c>
    </row>
    <row r="8" spans="1:16" s="31" customFormat="1" x14ac:dyDescent="0.3">
      <c r="A8" s="39">
        <v>104</v>
      </c>
      <c r="B8" s="39" t="s">
        <v>65</v>
      </c>
      <c r="C8" s="41" t="s">
        <v>64</v>
      </c>
      <c r="D8" s="41" t="s">
        <v>73</v>
      </c>
      <c r="E8" s="40" t="s">
        <v>327</v>
      </c>
      <c r="F8" s="47" t="s">
        <v>404</v>
      </c>
      <c r="G8" s="47" t="s">
        <v>403</v>
      </c>
      <c r="H8" s="46">
        <v>2014</v>
      </c>
      <c r="I8" s="46">
        <v>2015</v>
      </c>
      <c r="J8" s="46" t="s">
        <v>402</v>
      </c>
      <c r="K8" s="46" t="s">
        <v>401</v>
      </c>
      <c r="L8" s="46">
        <v>91790</v>
      </c>
      <c r="M8" s="45">
        <v>6945.3056999999999</v>
      </c>
      <c r="N8" s="59">
        <v>15015.7</v>
      </c>
      <c r="O8" s="59">
        <f>Tabela1[[#This Row],[FRANQUIA AON-HDI]]-Tabela1[[#This Row],[FRANQUIA INTERBROK - SURA]]</f>
        <v>-8070.3943000000008</v>
      </c>
      <c r="P8" s="58" t="s">
        <v>315</v>
      </c>
    </row>
    <row r="9" spans="1:16" s="31" customFormat="1" x14ac:dyDescent="0.3">
      <c r="A9" s="39">
        <v>113</v>
      </c>
      <c r="B9" s="39" t="s">
        <v>65</v>
      </c>
      <c r="C9" s="41" t="s">
        <v>64</v>
      </c>
      <c r="D9" s="41" t="s">
        <v>73</v>
      </c>
      <c r="E9" s="40" t="s">
        <v>303</v>
      </c>
      <c r="F9" s="47" t="s">
        <v>400</v>
      </c>
      <c r="G9" s="47" t="s">
        <v>399</v>
      </c>
      <c r="H9" s="46">
        <v>2017</v>
      </c>
      <c r="I9" s="46">
        <v>2017</v>
      </c>
      <c r="J9" s="46" t="s">
        <v>398</v>
      </c>
      <c r="K9" s="46" t="s">
        <v>397</v>
      </c>
      <c r="L9" s="46">
        <v>330620</v>
      </c>
      <c r="M9" s="45">
        <v>8399.2062000000005</v>
      </c>
      <c r="N9" s="59">
        <v>13208.6</v>
      </c>
      <c r="O9" s="59">
        <f>Tabela1[[#This Row],[FRANQUIA AON-HDI]]-Tabela1[[#This Row],[FRANQUIA INTERBROK - SURA]]</f>
        <v>-4809.3937999999998</v>
      </c>
      <c r="P9" s="58" t="s">
        <v>315</v>
      </c>
    </row>
    <row r="10" spans="1:16" s="31" customFormat="1" x14ac:dyDescent="0.3">
      <c r="A10" s="39">
        <v>118</v>
      </c>
      <c r="B10" s="39" t="s">
        <v>65</v>
      </c>
      <c r="C10" s="41" t="s">
        <v>64</v>
      </c>
      <c r="D10" s="41" t="s">
        <v>73</v>
      </c>
      <c r="E10" s="40" t="s">
        <v>314</v>
      </c>
      <c r="F10" s="47" t="s">
        <v>396</v>
      </c>
      <c r="G10" s="62" t="s">
        <v>395</v>
      </c>
      <c r="H10" s="46">
        <v>1995</v>
      </c>
      <c r="I10" s="46">
        <v>1995</v>
      </c>
      <c r="J10" s="46" t="s">
        <v>394</v>
      </c>
      <c r="K10" s="46" t="s">
        <v>393</v>
      </c>
      <c r="L10" s="46" t="s">
        <v>392</v>
      </c>
      <c r="M10" s="45">
        <v>1714.4481000000001</v>
      </c>
      <c r="N10" s="59">
        <v>6000</v>
      </c>
      <c r="O10" s="59">
        <f>Tabela1[[#This Row],[FRANQUIA AON-HDI]]-Tabela1[[#This Row],[FRANQUIA INTERBROK - SURA]]</f>
        <v>-4285.5519000000004</v>
      </c>
      <c r="P10" s="58" t="s">
        <v>315</v>
      </c>
    </row>
    <row r="11" spans="1:16" s="31" customFormat="1" x14ac:dyDescent="0.3">
      <c r="A11" s="39">
        <v>115</v>
      </c>
      <c r="B11" s="39" t="s">
        <v>65</v>
      </c>
      <c r="C11" s="41" t="s">
        <v>64</v>
      </c>
      <c r="D11" s="41" t="s">
        <v>73</v>
      </c>
      <c r="E11" s="40" t="s">
        <v>314</v>
      </c>
      <c r="F11" s="47" t="s">
        <v>391</v>
      </c>
      <c r="G11" s="47" t="s">
        <v>390</v>
      </c>
      <c r="H11" s="46">
        <v>1998</v>
      </c>
      <c r="I11" s="46">
        <v>1998</v>
      </c>
      <c r="J11" s="46" t="s">
        <v>389</v>
      </c>
      <c r="K11" s="46" t="s">
        <v>388</v>
      </c>
      <c r="L11" s="46">
        <v>211176</v>
      </c>
      <c r="M11" s="45">
        <v>3965.5035000000003</v>
      </c>
      <c r="N11" s="59">
        <v>7900</v>
      </c>
      <c r="O11" s="59">
        <f>Tabela1[[#This Row],[FRANQUIA AON-HDI]]-Tabela1[[#This Row],[FRANQUIA INTERBROK - SURA]]</f>
        <v>-3934.4964999999997</v>
      </c>
      <c r="P11" s="58" t="s">
        <v>315</v>
      </c>
    </row>
    <row r="12" spans="1:16" s="31" customFormat="1" x14ac:dyDescent="0.3">
      <c r="A12" s="39">
        <v>116</v>
      </c>
      <c r="B12" s="39" t="s">
        <v>65</v>
      </c>
      <c r="C12" s="41" t="s">
        <v>64</v>
      </c>
      <c r="D12" s="41" t="s">
        <v>73</v>
      </c>
      <c r="E12" s="40" t="s">
        <v>314</v>
      </c>
      <c r="F12" s="47" t="s">
        <v>387</v>
      </c>
      <c r="G12" s="47" t="s">
        <v>386</v>
      </c>
      <c r="H12" s="46">
        <v>2009</v>
      </c>
      <c r="I12" s="46">
        <v>2009</v>
      </c>
      <c r="J12" s="46" t="s">
        <v>385</v>
      </c>
      <c r="K12" s="46" t="s">
        <v>384</v>
      </c>
      <c r="L12" s="46">
        <v>211338</v>
      </c>
      <c r="M12" s="45">
        <v>4435.2425999999996</v>
      </c>
      <c r="N12" s="59">
        <v>7900</v>
      </c>
      <c r="O12" s="59">
        <f>Tabela1[[#This Row],[FRANQUIA AON-HDI]]-Tabela1[[#This Row],[FRANQUIA INTERBROK - SURA]]</f>
        <v>-3464.7574000000004</v>
      </c>
      <c r="P12" s="58" t="s">
        <v>315</v>
      </c>
    </row>
    <row r="13" spans="1:16" s="31" customFormat="1" x14ac:dyDescent="0.3">
      <c r="A13" s="39">
        <v>109</v>
      </c>
      <c r="B13" s="39" t="s">
        <v>65</v>
      </c>
      <c r="C13" s="41" t="s">
        <v>64</v>
      </c>
      <c r="D13" s="41" t="s">
        <v>73</v>
      </c>
      <c r="E13" s="40" t="s">
        <v>383</v>
      </c>
      <c r="F13" s="47" t="s">
        <v>382</v>
      </c>
      <c r="G13" s="47" t="s">
        <v>381</v>
      </c>
      <c r="H13" s="46">
        <v>2011</v>
      </c>
      <c r="I13" s="46">
        <v>2011</v>
      </c>
      <c r="J13" s="46" t="s">
        <v>380</v>
      </c>
      <c r="K13" s="46" t="s">
        <v>379</v>
      </c>
      <c r="L13" s="46">
        <v>33332</v>
      </c>
      <c r="M13" s="45">
        <v>2823.933</v>
      </c>
      <c r="N13" s="59">
        <v>6000</v>
      </c>
      <c r="O13" s="59">
        <f>Tabela1[[#This Row],[FRANQUIA AON-HDI]]-Tabela1[[#This Row],[FRANQUIA INTERBROK - SURA]]</f>
        <v>-3176.067</v>
      </c>
      <c r="P13" s="58" t="s">
        <v>315</v>
      </c>
    </row>
    <row r="14" spans="1:16" s="31" customFormat="1" x14ac:dyDescent="0.3">
      <c r="A14" s="39">
        <v>49</v>
      </c>
      <c r="B14" s="39" t="s">
        <v>65</v>
      </c>
      <c r="C14" s="41" t="s">
        <v>64</v>
      </c>
      <c r="D14" s="41" t="s">
        <v>63</v>
      </c>
      <c r="E14" s="40" t="s">
        <v>79</v>
      </c>
      <c r="F14" s="39" t="s">
        <v>378</v>
      </c>
      <c r="G14" s="39" t="s">
        <v>377</v>
      </c>
      <c r="H14" s="39">
        <v>2011</v>
      </c>
      <c r="I14" s="39">
        <v>2011</v>
      </c>
      <c r="J14" s="39" t="s">
        <v>376</v>
      </c>
      <c r="K14" s="39" t="s">
        <v>375</v>
      </c>
      <c r="L14" s="39">
        <v>5160901</v>
      </c>
      <c r="M14" s="38">
        <v>7004.2655999999997</v>
      </c>
      <c r="N14" s="59">
        <v>10071.85</v>
      </c>
      <c r="O14" s="59">
        <f>Tabela1[[#This Row],[FRANQUIA AON-HDI]]-Tabela1[[#This Row],[FRANQUIA INTERBROK - SURA]]</f>
        <v>-3067.5844000000006</v>
      </c>
      <c r="P14" s="58" t="s">
        <v>315</v>
      </c>
    </row>
    <row r="15" spans="1:16" s="31" customFormat="1" x14ac:dyDescent="0.3">
      <c r="A15" s="39">
        <v>121</v>
      </c>
      <c r="B15" s="48" t="s">
        <v>74</v>
      </c>
      <c r="C15" s="41" t="s">
        <v>64</v>
      </c>
      <c r="D15" s="41" t="s">
        <v>73</v>
      </c>
      <c r="E15" s="40" t="s">
        <v>72</v>
      </c>
      <c r="F15" s="47" t="s">
        <v>374</v>
      </c>
      <c r="G15" s="47" t="s">
        <v>373</v>
      </c>
      <c r="H15" s="46">
        <v>1993</v>
      </c>
      <c r="I15" s="46">
        <v>1993</v>
      </c>
      <c r="J15" s="46" t="s">
        <v>372</v>
      </c>
      <c r="K15" s="46" t="s">
        <v>371</v>
      </c>
      <c r="L15" s="46">
        <v>20052</v>
      </c>
      <c r="M15" s="45">
        <v>2779.9371000000001</v>
      </c>
      <c r="N15" s="59">
        <v>5250</v>
      </c>
      <c r="O15" s="59">
        <f>Tabela1[[#This Row],[FRANQUIA AON-HDI]]-Tabela1[[#This Row],[FRANQUIA INTERBROK - SURA]]</f>
        <v>-2470.0628999999999</v>
      </c>
      <c r="P15" s="58" t="s">
        <v>315</v>
      </c>
    </row>
    <row r="16" spans="1:16" s="31" customFormat="1" x14ac:dyDescent="0.3">
      <c r="A16" s="39">
        <v>111</v>
      </c>
      <c r="B16" s="39" t="s">
        <v>65</v>
      </c>
      <c r="C16" s="41" t="s">
        <v>64</v>
      </c>
      <c r="D16" s="41" t="s">
        <v>73</v>
      </c>
      <c r="E16" s="40" t="s">
        <v>370</v>
      </c>
      <c r="F16" s="47" t="s">
        <v>369</v>
      </c>
      <c r="G16" s="47" t="s">
        <v>368</v>
      </c>
      <c r="H16" s="46">
        <v>2023</v>
      </c>
      <c r="I16" s="46">
        <v>2023</v>
      </c>
      <c r="J16" s="46" t="s">
        <v>367</v>
      </c>
      <c r="K16" s="46" t="s">
        <v>366</v>
      </c>
      <c r="L16" s="46">
        <v>170712</v>
      </c>
      <c r="M16" s="45">
        <v>6233.9241000000002</v>
      </c>
      <c r="N16" s="59">
        <v>8338.74</v>
      </c>
      <c r="O16" s="59">
        <f>Tabela1[[#This Row],[FRANQUIA AON-HDI]]-Tabela1[[#This Row],[FRANQUIA INTERBROK - SURA]]</f>
        <v>-2104.8158999999996</v>
      </c>
      <c r="P16" s="58" t="s">
        <v>315</v>
      </c>
    </row>
    <row r="17" spans="1:16" s="31" customFormat="1" x14ac:dyDescent="0.3">
      <c r="A17" s="39">
        <v>107</v>
      </c>
      <c r="B17" s="39" t="s">
        <v>65</v>
      </c>
      <c r="C17" s="41" t="s">
        <v>64</v>
      </c>
      <c r="D17" s="41" t="s">
        <v>73</v>
      </c>
      <c r="E17" s="40" t="s">
        <v>345</v>
      </c>
      <c r="F17" s="47" t="s">
        <v>365</v>
      </c>
      <c r="G17" s="47" t="s">
        <v>364</v>
      </c>
      <c r="H17" s="46">
        <v>2011</v>
      </c>
      <c r="I17" s="46">
        <v>2012</v>
      </c>
      <c r="J17" s="46" t="s">
        <v>363</v>
      </c>
      <c r="K17" s="46" t="s">
        <v>362</v>
      </c>
      <c r="L17" s="46">
        <v>10278</v>
      </c>
      <c r="M17" s="45">
        <v>1684.8942</v>
      </c>
      <c r="N17" s="59">
        <v>3750</v>
      </c>
      <c r="O17" s="59">
        <f>Tabela1[[#This Row],[FRANQUIA AON-HDI]]-Tabela1[[#This Row],[FRANQUIA INTERBROK - SURA]]</f>
        <v>-2065.1058000000003</v>
      </c>
      <c r="P17" s="58" t="s">
        <v>315</v>
      </c>
    </row>
    <row r="18" spans="1:16" s="31" customFormat="1" x14ac:dyDescent="0.3">
      <c r="A18" s="39">
        <v>106</v>
      </c>
      <c r="B18" s="39" t="s">
        <v>65</v>
      </c>
      <c r="C18" s="41" t="s">
        <v>64</v>
      </c>
      <c r="D18" s="41" t="s">
        <v>73</v>
      </c>
      <c r="E18" s="40" t="s">
        <v>345</v>
      </c>
      <c r="F18" s="47" t="s">
        <v>361</v>
      </c>
      <c r="G18" s="47" t="s">
        <v>360</v>
      </c>
      <c r="H18" s="46">
        <v>2010</v>
      </c>
      <c r="I18" s="46">
        <v>2010</v>
      </c>
      <c r="J18" s="46" t="s">
        <v>359</v>
      </c>
      <c r="K18" s="46" t="s">
        <v>358</v>
      </c>
      <c r="L18" s="46">
        <v>12220</v>
      </c>
      <c r="M18" s="45">
        <v>1723.296</v>
      </c>
      <c r="N18" s="59">
        <v>3650</v>
      </c>
      <c r="O18" s="59">
        <f>Tabela1[[#This Row],[FRANQUIA AON-HDI]]-Tabela1[[#This Row],[FRANQUIA INTERBROK - SURA]]</f>
        <v>-1926.704</v>
      </c>
      <c r="P18" s="58" t="s">
        <v>315</v>
      </c>
    </row>
    <row r="19" spans="1:16" s="31" customFormat="1" x14ac:dyDescent="0.3">
      <c r="A19" s="39">
        <v>128</v>
      </c>
      <c r="B19" s="48" t="s">
        <v>74</v>
      </c>
      <c r="C19" s="41" t="s">
        <v>64</v>
      </c>
      <c r="D19" s="41" t="s">
        <v>73</v>
      </c>
      <c r="E19" s="40" t="s">
        <v>118</v>
      </c>
      <c r="F19" s="47" t="s">
        <v>357</v>
      </c>
      <c r="G19" s="47" t="s">
        <v>356</v>
      </c>
      <c r="H19" s="46">
        <v>2018</v>
      </c>
      <c r="I19" s="46">
        <v>2018</v>
      </c>
      <c r="J19" s="46" t="s">
        <v>355</v>
      </c>
      <c r="K19" s="46" t="s">
        <v>354</v>
      </c>
      <c r="L19" s="46">
        <v>54780</v>
      </c>
      <c r="M19" s="45">
        <v>2266.7066999999997</v>
      </c>
      <c r="N19" s="59">
        <v>3600</v>
      </c>
      <c r="O19" s="59">
        <f>Tabela1[[#This Row],[FRANQUIA AON-HDI]]-Tabela1[[#This Row],[FRANQUIA INTERBROK - SURA]]</f>
        <v>-1333.2933000000003</v>
      </c>
      <c r="P19" s="58" t="s">
        <v>315</v>
      </c>
    </row>
    <row r="20" spans="1:16" x14ac:dyDescent="0.3">
      <c r="A20" s="39">
        <v>123</v>
      </c>
      <c r="B20" s="48" t="s">
        <v>74</v>
      </c>
      <c r="C20" s="41" t="s">
        <v>64</v>
      </c>
      <c r="D20" s="41" t="s">
        <v>73</v>
      </c>
      <c r="E20" s="40" t="s">
        <v>118</v>
      </c>
      <c r="F20" s="47" t="s">
        <v>353</v>
      </c>
      <c r="G20" s="47" t="s">
        <v>352</v>
      </c>
      <c r="H20" s="46">
        <v>2010</v>
      </c>
      <c r="I20" s="46">
        <v>2011</v>
      </c>
      <c r="J20" s="46" t="s">
        <v>351</v>
      </c>
      <c r="K20" s="46" t="s">
        <v>350</v>
      </c>
      <c r="L20" s="46">
        <v>50946</v>
      </c>
      <c r="M20" s="45">
        <v>2480.0307000000003</v>
      </c>
      <c r="N20" s="59">
        <v>3500</v>
      </c>
      <c r="O20" s="59">
        <f>Tabela1[[#This Row],[FRANQUIA AON-HDI]]-Tabela1[[#This Row],[FRANQUIA INTERBROK - SURA]]</f>
        <v>-1019.9692999999997</v>
      </c>
      <c r="P20" s="58" t="s">
        <v>315</v>
      </c>
    </row>
    <row r="21" spans="1:16" x14ac:dyDescent="0.3">
      <c r="A21" s="39">
        <v>120</v>
      </c>
      <c r="B21" s="39" t="s">
        <v>65</v>
      </c>
      <c r="C21" s="41" t="s">
        <v>64</v>
      </c>
      <c r="D21" s="41" t="s">
        <v>73</v>
      </c>
      <c r="E21" s="40" t="s">
        <v>72</v>
      </c>
      <c r="F21" s="47" t="s">
        <v>349</v>
      </c>
      <c r="G21" s="47" t="s">
        <v>348</v>
      </c>
      <c r="H21" s="46">
        <v>2018</v>
      </c>
      <c r="I21" s="46">
        <v>2019</v>
      </c>
      <c r="J21" s="46" t="s">
        <v>347</v>
      </c>
      <c r="K21" s="46" t="s">
        <v>346</v>
      </c>
      <c r="L21" s="46">
        <v>21113</v>
      </c>
      <c r="M21" s="45">
        <v>4140.3474000000006</v>
      </c>
      <c r="N21" s="61">
        <v>5113.6499999999996</v>
      </c>
      <c r="O21" s="61">
        <f>Tabela1[[#This Row],[FRANQUIA AON-HDI]]-Tabela1[[#This Row],[FRANQUIA INTERBROK - SURA]]</f>
        <v>-973.30259999999907</v>
      </c>
      <c r="P21" s="58" t="s">
        <v>315</v>
      </c>
    </row>
    <row r="22" spans="1:16" x14ac:dyDescent="0.3">
      <c r="A22" s="39">
        <v>108</v>
      </c>
      <c r="B22" s="39" t="s">
        <v>65</v>
      </c>
      <c r="C22" s="41" t="s">
        <v>64</v>
      </c>
      <c r="D22" s="41" t="s">
        <v>73</v>
      </c>
      <c r="E22" s="40" t="s">
        <v>345</v>
      </c>
      <c r="F22" s="47" t="s">
        <v>344</v>
      </c>
      <c r="G22" s="47" t="s">
        <v>343</v>
      </c>
      <c r="H22" s="46">
        <v>2021</v>
      </c>
      <c r="I22" s="46">
        <v>2022</v>
      </c>
      <c r="J22" s="46" t="s">
        <v>342</v>
      </c>
      <c r="K22" s="46" t="s">
        <v>341</v>
      </c>
      <c r="L22" s="46">
        <v>14532</v>
      </c>
      <c r="M22" s="45">
        <v>5178.4488000000001</v>
      </c>
      <c r="N22" s="59">
        <v>6000</v>
      </c>
      <c r="O22" s="59">
        <f>Tabela1[[#This Row],[FRANQUIA AON-HDI]]-Tabela1[[#This Row],[FRANQUIA INTERBROK - SURA]]</f>
        <v>-821.55119999999988</v>
      </c>
      <c r="P22" s="58" t="s">
        <v>315</v>
      </c>
    </row>
    <row r="23" spans="1:16" x14ac:dyDescent="0.3">
      <c r="A23" s="39">
        <v>105</v>
      </c>
      <c r="B23" s="39" t="s">
        <v>65</v>
      </c>
      <c r="C23" s="41" t="s">
        <v>64</v>
      </c>
      <c r="D23" s="41" t="s">
        <v>73</v>
      </c>
      <c r="E23" s="40" t="s">
        <v>327</v>
      </c>
      <c r="F23" s="47" t="s">
        <v>340</v>
      </c>
      <c r="G23" s="47" t="s">
        <v>339</v>
      </c>
      <c r="H23" s="46">
        <v>2021</v>
      </c>
      <c r="I23" s="46">
        <v>2022</v>
      </c>
      <c r="J23" s="46" t="s">
        <v>338</v>
      </c>
      <c r="K23" s="46" t="s">
        <v>337</v>
      </c>
      <c r="L23" s="46">
        <v>92711</v>
      </c>
      <c r="M23" s="45">
        <v>16137.9432</v>
      </c>
      <c r="N23" s="59">
        <v>16883.05</v>
      </c>
      <c r="O23" s="59">
        <f>Tabela1[[#This Row],[FRANQUIA AON-HDI]]-Tabela1[[#This Row],[FRANQUIA INTERBROK - SURA]]</f>
        <v>-745.10679999999957</v>
      </c>
      <c r="P23" s="58" t="s">
        <v>315</v>
      </c>
    </row>
    <row r="24" spans="1:16" x14ac:dyDescent="0.3">
      <c r="A24" s="39">
        <v>119</v>
      </c>
      <c r="B24" s="39" t="s">
        <v>65</v>
      </c>
      <c r="C24" s="41" t="s">
        <v>64</v>
      </c>
      <c r="D24" s="41" t="s">
        <v>73</v>
      </c>
      <c r="E24" s="40" t="s">
        <v>336</v>
      </c>
      <c r="F24" s="47" t="s">
        <v>335</v>
      </c>
      <c r="G24" s="47" t="s">
        <v>334</v>
      </c>
      <c r="H24" s="46">
        <v>2017</v>
      </c>
      <c r="I24" s="46">
        <v>2018</v>
      </c>
      <c r="J24" s="46" t="s">
        <v>333</v>
      </c>
      <c r="K24" s="46" t="s">
        <v>332</v>
      </c>
      <c r="L24" s="46">
        <v>221686</v>
      </c>
      <c r="M24" s="45">
        <v>4619.0823</v>
      </c>
      <c r="N24" s="59">
        <v>5250</v>
      </c>
      <c r="O24" s="59">
        <f>Tabela1[[#This Row],[FRANQUIA AON-HDI]]-Tabela1[[#This Row],[FRANQUIA INTERBROK - SURA]]</f>
        <v>-630.91769999999997</v>
      </c>
      <c r="P24" s="58" t="s">
        <v>315</v>
      </c>
    </row>
    <row r="25" spans="1:16" x14ac:dyDescent="0.3">
      <c r="A25" s="39">
        <v>126</v>
      </c>
      <c r="B25" s="48" t="s">
        <v>74</v>
      </c>
      <c r="C25" s="41" t="s">
        <v>64</v>
      </c>
      <c r="D25" s="41" t="s">
        <v>73</v>
      </c>
      <c r="E25" s="40" t="s">
        <v>118</v>
      </c>
      <c r="F25" s="47" t="s">
        <v>331</v>
      </c>
      <c r="G25" s="47" t="s">
        <v>330</v>
      </c>
      <c r="H25" s="46">
        <v>2016</v>
      </c>
      <c r="I25" s="46">
        <v>2017</v>
      </c>
      <c r="J25" s="46" t="s">
        <v>329</v>
      </c>
      <c r="K25" s="46" t="s">
        <v>328</v>
      </c>
      <c r="L25" s="46">
        <v>53864</v>
      </c>
      <c r="M25" s="45">
        <v>2885.529</v>
      </c>
      <c r="N25" s="59">
        <v>3500</v>
      </c>
      <c r="O25" s="59">
        <f>Tabela1[[#This Row],[FRANQUIA AON-HDI]]-Tabela1[[#This Row],[FRANQUIA INTERBROK - SURA]]</f>
        <v>-614.471</v>
      </c>
      <c r="P25" s="58" t="s">
        <v>315</v>
      </c>
    </row>
    <row r="26" spans="1:16" x14ac:dyDescent="0.3">
      <c r="A26" s="39">
        <v>103</v>
      </c>
      <c r="B26" s="39" t="s">
        <v>65</v>
      </c>
      <c r="C26" s="41" t="s">
        <v>64</v>
      </c>
      <c r="D26" s="41" t="s">
        <v>73</v>
      </c>
      <c r="E26" s="40" t="s">
        <v>327</v>
      </c>
      <c r="F26" s="47" t="s">
        <v>326</v>
      </c>
      <c r="G26" s="47" t="s">
        <v>325</v>
      </c>
      <c r="H26" s="46">
        <v>2011</v>
      </c>
      <c r="I26" s="46">
        <v>2012</v>
      </c>
      <c r="J26" s="46" t="s">
        <v>324</v>
      </c>
      <c r="K26" s="46" t="s">
        <v>323</v>
      </c>
      <c r="L26" s="46">
        <v>91464</v>
      </c>
      <c r="M26" s="45">
        <v>5509.2314999999999</v>
      </c>
      <c r="N26" s="59">
        <v>6000</v>
      </c>
      <c r="O26" s="59">
        <f>Tabela1[[#This Row],[FRANQUIA AON-HDI]]-Tabela1[[#This Row],[FRANQUIA INTERBROK - SURA]]</f>
        <v>-490.76850000000013</v>
      </c>
      <c r="P26" s="58" t="s">
        <v>315</v>
      </c>
    </row>
    <row r="27" spans="1:16" x14ac:dyDescent="0.3">
      <c r="A27" s="39">
        <v>125</v>
      </c>
      <c r="B27" s="48" t="s">
        <v>74</v>
      </c>
      <c r="C27" s="41" t="s">
        <v>64</v>
      </c>
      <c r="D27" s="41" t="s">
        <v>73</v>
      </c>
      <c r="E27" s="40" t="s">
        <v>118</v>
      </c>
      <c r="F27" s="47" t="s">
        <v>322</v>
      </c>
      <c r="G27" s="47" t="s">
        <v>318</v>
      </c>
      <c r="H27" s="46">
        <v>2011</v>
      </c>
      <c r="I27" s="46">
        <v>2012</v>
      </c>
      <c r="J27" s="46" t="s">
        <v>321</v>
      </c>
      <c r="K27" s="46" t="s">
        <v>320</v>
      </c>
      <c r="L27" s="46">
        <v>52760</v>
      </c>
      <c r="M27" s="45">
        <v>2309.7456000000002</v>
      </c>
      <c r="N27" s="59">
        <v>2350</v>
      </c>
      <c r="O27" s="59">
        <f>Tabela1[[#This Row],[FRANQUIA AON-HDI]]-Tabela1[[#This Row],[FRANQUIA INTERBROK - SURA]]</f>
        <v>-40.254399999999805</v>
      </c>
      <c r="P27" s="58" t="s">
        <v>315</v>
      </c>
    </row>
    <row r="28" spans="1:16" x14ac:dyDescent="0.3">
      <c r="A28" s="39">
        <v>124</v>
      </c>
      <c r="B28" s="48" t="s">
        <v>74</v>
      </c>
      <c r="C28" s="41" t="s">
        <v>64</v>
      </c>
      <c r="D28" s="41" t="s">
        <v>73</v>
      </c>
      <c r="E28" s="40" t="s">
        <v>118</v>
      </c>
      <c r="F28" s="47" t="s">
        <v>319</v>
      </c>
      <c r="G28" s="60" t="s">
        <v>318</v>
      </c>
      <c r="H28" s="46">
        <v>2011</v>
      </c>
      <c r="I28" s="46">
        <v>2012</v>
      </c>
      <c r="J28" s="46" t="s">
        <v>317</v>
      </c>
      <c r="K28" s="46" t="s">
        <v>316</v>
      </c>
      <c r="L28" s="46">
        <v>52760</v>
      </c>
      <c r="M28" s="45">
        <v>2309.7456000000002</v>
      </c>
      <c r="N28" s="59">
        <v>2350</v>
      </c>
      <c r="O28" s="59">
        <f>Tabela1[[#This Row],[FRANQUIA AON-HDI]]-Tabela1[[#This Row],[FRANQUIA INTERBROK - SURA]]</f>
        <v>-40.254399999999805</v>
      </c>
      <c r="P28" s="58" t="s">
        <v>315</v>
      </c>
    </row>
    <row r="29" spans="1:16" x14ac:dyDescent="0.3">
      <c r="A29" s="39">
        <v>117</v>
      </c>
      <c r="B29" s="39" t="s">
        <v>65</v>
      </c>
      <c r="C29" s="41" t="s">
        <v>64</v>
      </c>
      <c r="D29" s="41" t="s">
        <v>73</v>
      </c>
      <c r="E29" s="40" t="s">
        <v>314</v>
      </c>
      <c r="F29" s="47" t="s">
        <v>313</v>
      </c>
      <c r="G29" s="47" t="s">
        <v>312</v>
      </c>
      <c r="H29" s="46">
        <v>1997</v>
      </c>
      <c r="I29" s="46">
        <v>1997</v>
      </c>
      <c r="J29" s="46" t="s">
        <v>311</v>
      </c>
      <c r="K29" s="46" t="s">
        <v>310</v>
      </c>
      <c r="L29" s="46">
        <v>35188017</v>
      </c>
      <c r="M29" s="57">
        <v>7500</v>
      </c>
      <c r="N29" s="56">
        <v>7500</v>
      </c>
      <c r="O29" s="55">
        <f>Tabela1[[#This Row],[FRANQUIA AON-HDI]]-Tabela1[[#This Row],[FRANQUIA INTERBROK - SURA]]</f>
        <v>0</v>
      </c>
      <c r="P29" s="54" t="s">
        <v>309</v>
      </c>
    </row>
    <row r="30" spans="1:16" x14ac:dyDescent="0.3">
      <c r="A30" s="39">
        <v>129</v>
      </c>
      <c r="B30" s="48" t="s">
        <v>74</v>
      </c>
      <c r="C30" s="41" t="s">
        <v>64</v>
      </c>
      <c r="D30" s="41" t="s">
        <v>73</v>
      </c>
      <c r="E30" s="40" t="s">
        <v>308</v>
      </c>
      <c r="F30" s="47" t="s">
        <v>307</v>
      </c>
      <c r="G30" s="47" t="s">
        <v>306</v>
      </c>
      <c r="H30" s="46">
        <v>2025</v>
      </c>
      <c r="I30" s="46">
        <v>2025</v>
      </c>
      <c r="J30" s="46" t="s">
        <v>305</v>
      </c>
      <c r="K30" s="46" t="s">
        <v>304</v>
      </c>
      <c r="L30" s="46">
        <v>8271135</v>
      </c>
      <c r="M30" s="45">
        <v>1827.8352</v>
      </c>
      <c r="N30" s="43">
        <v>1787.5</v>
      </c>
      <c r="O30" s="43">
        <f>Tabela1[[#This Row],[FRANQUIA AON-HDI]]-Tabela1[[#This Row],[FRANQUIA INTERBROK - SURA]]</f>
        <v>40.335199999999986</v>
      </c>
      <c r="P30" s="35" t="s">
        <v>13</v>
      </c>
    </row>
    <row r="31" spans="1:16" x14ac:dyDescent="0.3">
      <c r="A31" s="39">
        <v>112</v>
      </c>
      <c r="B31" s="39" t="s">
        <v>65</v>
      </c>
      <c r="C31" s="41" t="s">
        <v>64</v>
      </c>
      <c r="D31" s="41" t="s">
        <v>73</v>
      </c>
      <c r="E31" s="40" t="s">
        <v>303</v>
      </c>
      <c r="F31" s="47" t="s">
        <v>302</v>
      </c>
      <c r="G31" s="47" t="s">
        <v>301</v>
      </c>
      <c r="H31" s="46">
        <v>2008</v>
      </c>
      <c r="I31" s="46">
        <v>2009</v>
      </c>
      <c r="J31" s="46" t="s">
        <v>300</v>
      </c>
      <c r="K31" s="46" t="s">
        <v>299</v>
      </c>
      <c r="L31" s="46">
        <v>330434</v>
      </c>
      <c r="M31" s="45">
        <v>6706.5342000000001</v>
      </c>
      <c r="N31" s="43">
        <v>6000</v>
      </c>
      <c r="O31" s="43">
        <f>Tabela1[[#This Row],[FRANQUIA AON-HDI]]-Tabela1[[#This Row],[FRANQUIA INTERBROK - SURA]]</f>
        <v>706.53420000000006</v>
      </c>
      <c r="P31" s="35" t="s">
        <v>13</v>
      </c>
    </row>
    <row r="32" spans="1:16" x14ac:dyDescent="0.3">
      <c r="A32" s="39">
        <v>47</v>
      </c>
      <c r="B32" s="39" t="s">
        <v>65</v>
      </c>
      <c r="C32" s="41" t="s">
        <v>64</v>
      </c>
      <c r="D32" s="41" t="s">
        <v>63</v>
      </c>
      <c r="E32" s="40" t="s">
        <v>79</v>
      </c>
      <c r="F32" s="39" t="s">
        <v>296</v>
      </c>
      <c r="G32" s="39" t="s">
        <v>295</v>
      </c>
      <c r="H32" s="39">
        <v>2011</v>
      </c>
      <c r="I32" s="39">
        <v>2011</v>
      </c>
      <c r="J32" s="39" t="s">
        <v>298</v>
      </c>
      <c r="K32" s="39" t="s">
        <v>297</v>
      </c>
      <c r="L32" s="39">
        <v>5161126</v>
      </c>
      <c r="M32" s="38">
        <v>14349.519</v>
      </c>
      <c r="N32" s="43">
        <v>12446.95</v>
      </c>
      <c r="O32" s="43">
        <f>Tabela1[[#This Row],[FRANQUIA AON-HDI]]-Tabela1[[#This Row],[FRANQUIA INTERBROK - SURA]]</f>
        <v>1902.5689999999995</v>
      </c>
      <c r="P32" s="35" t="s">
        <v>13</v>
      </c>
    </row>
    <row r="33" spans="1:16" x14ac:dyDescent="0.3">
      <c r="A33" s="39">
        <v>48</v>
      </c>
      <c r="B33" s="39" t="s">
        <v>65</v>
      </c>
      <c r="C33" s="41" t="s">
        <v>64</v>
      </c>
      <c r="D33" s="41" t="s">
        <v>63</v>
      </c>
      <c r="E33" s="40" t="s">
        <v>79</v>
      </c>
      <c r="F33" s="39" t="s">
        <v>296</v>
      </c>
      <c r="G33" s="39" t="s">
        <v>295</v>
      </c>
      <c r="H33" s="39">
        <v>2011</v>
      </c>
      <c r="I33" s="39">
        <v>2011</v>
      </c>
      <c r="J33" s="39" t="s">
        <v>294</v>
      </c>
      <c r="K33" s="39" t="s">
        <v>293</v>
      </c>
      <c r="L33" s="39">
        <v>5161126</v>
      </c>
      <c r="M33" s="38">
        <v>14349.519</v>
      </c>
      <c r="N33" s="43">
        <v>12446.95</v>
      </c>
      <c r="O33" s="43">
        <f>Tabela1[[#This Row],[FRANQUIA AON-HDI]]-Tabela1[[#This Row],[FRANQUIA INTERBROK - SURA]]</f>
        <v>1902.5689999999995</v>
      </c>
      <c r="P33" s="35" t="s">
        <v>13</v>
      </c>
    </row>
    <row r="34" spans="1:16" x14ac:dyDescent="0.3">
      <c r="A34" s="39">
        <v>127</v>
      </c>
      <c r="B34" s="48" t="s">
        <v>74</v>
      </c>
      <c r="C34" s="41" t="s">
        <v>64</v>
      </c>
      <c r="D34" s="41" t="s">
        <v>73</v>
      </c>
      <c r="E34" s="40" t="s">
        <v>118</v>
      </c>
      <c r="F34" s="47" t="s">
        <v>292</v>
      </c>
      <c r="G34" s="47" t="s">
        <v>291</v>
      </c>
      <c r="H34" s="46">
        <v>1994</v>
      </c>
      <c r="I34" s="46">
        <v>1995</v>
      </c>
      <c r="J34" s="46" t="s">
        <v>290</v>
      </c>
      <c r="K34" s="46" t="s">
        <v>289</v>
      </c>
      <c r="L34" s="46">
        <v>5150329</v>
      </c>
      <c r="M34" s="45">
        <v>8130.5675999999994</v>
      </c>
      <c r="N34" s="43">
        <v>5250</v>
      </c>
      <c r="O34" s="43">
        <f>Tabela1[[#This Row],[FRANQUIA AON-HDI]]-Tabela1[[#This Row],[FRANQUIA INTERBROK - SURA]]</f>
        <v>2880.5675999999994</v>
      </c>
      <c r="P34" s="35" t="s">
        <v>13</v>
      </c>
    </row>
    <row r="35" spans="1:16" x14ac:dyDescent="0.3">
      <c r="A35" s="39">
        <v>11</v>
      </c>
      <c r="B35" s="39" t="s">
        <v>65</v>
      </c>
      <c r="C35" s="41" t="s">
        <v>64</v>
      </c>
      <c r="D35" s="41" t="s">
        <v>63</v>
      </c>
      <c r="E35" s="40" t="s">
        <v>79</v>
      </c>
      <c r="F35" s="48" t="s">
        <v>232</v>
      </c>
      <c r="G35" s="48" t="s">
        <v>231</v>
      </c>
      <c r="H35" s="48">
        <v>2013</v>
      </c>
      <c r="I35" s="48">
        <v>2013</v>
      </c>
      <c r="J35" s="52" t="s">
        <v>288</v>
      </c>
      <c r="K35" s="52" t="s">
        <v>287</v>
      </c>
      <c r="L35" s="52">
        <v>5132215</v>
      </c>
      <c r="M35" s="38">
        <v>20539.0209</v>
      </c>
      <c r="N35" s="43">
        <v>16821.419999999998</v>
      </c>
      <c r="O35" s="43">
        <f>Tabela1[[#This Row],[FRANQUIA AON-HDI]]-Tabela1[[#This Row],[FRANQUIA INTERBROK - SURA]]</f>
        <v>3717.6009000000013</v>
      </c>
      <c r="P35" s="35" t="s">
        <v>13</v>
      </c>
    </row>
    <row r="36" spans="1:16" x14ac:dyDescent="0.3">
      <c r="A36" s="39">
        <v>12</v>
      </c>
      <c r="B36" s="39" t="s">
        <v>65</v>
      </c>
      <c r="C36" s="41" t="s">
        <v>64</v>
      </c>
      <c r="D36" s="41" t="s">
        <v>63</v>
      </c>
      <c r="E36" s="40" t="s">
        <v>79</v>
      </c>
      <c r="F36" s="48" t="s">
        <v>232</v>
      </c>
      <c r="G36" s="48" t="s">
        <v>231</v>
      </c>
      <c r="H36" s="48">
        <v>2013</v>
      </c>
      <c r="I36" s="48">
        <v>2013</v>
      </c>
      <c r="J36" s="52" t="s">
        <v>286</v>
      </c>
      <c r="K36" s="52" t="s">
        <v>285</v>
      </c>
      <c r="L36" s="52">
        <v>5132215</v>
      </c>
      <c r="M36" s="38">
        <v>20539.0209</v>
      </c>
      <c r="N36" s="43">
        <v>16821.419999999998</v>
      </c>
      <c r="O36" s="43">
        <f>Tabela1[[#This Row],[FRANQUIA AON-HDI]]-Tabela1[[#This Row],[FRANQUIA INTERBROK - SURA]]</f>
        <v>3717.6009000000013</v>
      </c>
      <c r="P36" s="35" t="s">
        <v>13</v>
      </c>
    </row>
    <row r="37" spans="1:16" x14ac:dyDescent="0.3">
      <c r="A37" s="39">
        <v>14</v>
      </c>
      <c r="B37" s="39" t="s">
        <v>65</v>
      </c>
      <c r="C37" s="41" t="s">
        <v>64</v>
      </c>
      <c r="D37" s="41" t="s">
        <v>63</v>
      </c>
      <c r="E37" s="40" t="s">
        <v>79</v>
      </c>
      <c r="F37" s="48" t="s">
        <v>232</v>
      </c>
      <c r="G37" s="48" t="s">
        <v>231</v>
      </c>
      <c r="H37" s="48">
        <v>2013</v>
      </c>
      <c r="I37" s="48">
        <v>2013</v>
      </c>
      <c r="J37" s="52" t="s">
        <v>284</v>
      </c>
      <c r="K37" s="52" t="s">
        <v>283</v>
      </c>
      <c r="L37" s="52">
        <v>5132215</v>
      </c>
      <c r="M37" s="38">
        <v>20539.0209</v>
      </c>
      <c r="N37" s="43">
        <v>16821.419999999998</v>
      </c>
      <c r="O37" s="43">
        <f>Tabela1[[#This Row],[FRANQUIA AON-HDI]]-Tabela1[[#This Row],[FRANQUIA INTERBROK - SURA]]</f>
        <v>3717.6009000000013</v>
      </c>
      <c r="P37" s="35" t="s">
        <v>13</v>
      </c>
    </row>
    <row r="38" spans="1:16" x14ac:dyDescent="0.3">
      <c r="A38" s="39">
        <v>13</v>
      </c>
      <c r="B38" s="39" t="s">
        <v>65</v>
      </c>
      <c r="C38" s="41" t="s">
        <v>64</v>
      </c>
      <c r="D38" s="41" t="s">
        <v>63</v>
      </c>
      <c r="E38" s="40" t="s">
        <v>79</v>
      </c>
      <c r="F38" s="48" t="s">
        <v>232</v>
      </c>
      <c r="G38" s="48" t="s">
        <v>231</v>
      </c>
      <c r="H38" s="48">
        <v>2013</v>
      </c>
      <c r="I38" s="48">
        <v>2013</v>
      </c>
      <c r="J38" s="52" t="s">
        <v>282</v>
      </c>
      <c r="K38" s="52" t="s">
        <v>281</v>
      </c>
      <c r="L38" s="52">
        <v>5132215</v>
      </c>
      <c r="M38" s="38">
        <v>20539.0209</v>
      </c>
      <c r="N38" s="43">
        <v>16821.419999999998</v>
      </c>
      <c r="O38" s="43">
        <f>Tabela1[[#This Row],[FRANQUIA AON-HDI]]-Tabela1[[#This Row],[FRANQUIA INTERBROK - SURA]]</f>
        <v>3717.6009000000013</v>
      </c>
      <c r="P38" s="35" t="s">
        <v>13</v>
      </c>
    </row>
    <row r="39" spans="1:16" x14ac:dyDescent="0.3">
      <c r="A39" s="39">
        <v>86</v>
      </c>
      <c r="B39" s="39" t="s">
        <v>65</v>
      </c>
      <c r="C39" s="41" t="s">
        <v>64</v>
      </c>
      <c r="D39" s="41" t="s">
        <v>63</v>
      </c>
      <c r="E39" s="40" t="s">
        <v>144</v>
      </c>
      <c r="F39" s="47" t="s">
        <v>158</v>
      </c>
      <c r="G39" s="47" t="s">
        <v>157</v>
      </c>
      <c r="H39" s="46">
        <v>2020</v>
      </c>
      <c r="I39" s="46">
        <v>2021</v>
      </c>
      <c r="J39" s="46" t="s">
        <v>280</v>
      </c>
      <c r="K39" s="46" t="s">
        <v>279</v>
      </c>
      <c r="L39" s="46">
        <v>5161525</v>
      </c>
      <c r="M39" s="45">
        <v>37290.462</v>
      </c>
      <c r="N39" s="43">
        <v>33504.75</v>
      </c>
      <c r="O39" s="43">
        <f>Tabela1[[#This Row],[FRANQUIA AON-HDI]]-Tabela1[[#This Row],[FRANQUIA INTERBROK - SURA]]</f>
        <v>3785.7119999999995</v>
      </c>
      <c r="P39" s="35" t="s">
        <v>13</v>
      </c>
    </row>
    <row r="40" spans="1:16" x14ac:dyDescent="0.3">
      <c r="A40" s="39">
        <v>83</v>
      </c>
      <c r="B40" s="39" t="s">
        <v>65</v>
      </c>
      <c r="C40" s="41" t="s">
        <v>64</v>
      </c>
      <c r="D40" s="41" t="s">
        <v>63</v>
      </c>
      <c r="E40" s="40" t="s">
        <v>144</v>
      </c>
      <c r="F40" s="47" t="s">
        <v>158</v>
      </c>
      <c r="G40" s="47" t="s">
        <v>157</v>
      </c>
      <c r="H40" s="46">
        <v>2020</v>
      </c>
      <c r="I40" s="46">
        <v>2021</v>
      </c>
      <c r="J40" s="46" t="s">
        <v>278</v>
      </c>
      <c r="K40" s="46" t="s">
        <v>277</v>
      </c>
      <c r="L40" s="46">
        <v>5161525</v>
      </c>
      <c r="M40" s="45">
        <v>37290.462</v>
      </c>
      <c r="N40" s="43">
        <v>33504.75</v>
      </c>
      <c r="O40" s="43">
        <f>Tabela1[[#This Row],[FRANQUIA AON-HDI]]-Tabela1[[#This Row],[FRANQUIA INTERBROK - SURA]]</f>
        <v>3785.7119999999995</v>
      </c>
      <c r="P40" s="35" t="s">
        <v>13</v>
      </c>
    </row>
    <row r="41" spans="1:16" x14ac:dyDescent="0.3">
      <c r="A41" s="39">
        <v>84</v>
      </c>
      <c r="B41" s="39" t="s">
        <v>65</v>
      </c>
      <c r="C41" s="41" t="s">
        <v>64</v>
      </c>
      <c r="D41" s="41" t="s">
        <v>63</v>
      </c>
      <c r="E41" s="40" t="s">
        <v>144</v>
      </c>
      <c r="F41" s="47" t="s">
        <v>158</v>
      </c>
      <c r="G41" s="47" t="s">
        <v>157</v>
      </c>
      <c r="H41" s="46">
        <v>2020</v>
      </c>
      <c r="I41" s="46">
        <v>2021</v>
      </c>
      <c r="J41" s="46" t="s">
        <v>276</v>
      </c>
      <c r="K41" s="46" t="s">
        <v>275</v>
      </c>
      <c r="L41" s="46">
        <v>5161525</v>
      </c>
      <c r="M41" s="45">
        <v>37290.462</v>
      </c>
      <c r="N41" s="43">
        <v>33504.75</v>
      </c>
      <c r="O41" s="43">
        <f>Tabela1[[#This Row],[FRANQUIA AON-HDI]]-Tabela1[[#This Row],[FRANQUIA INTERBROK - SURA]]</f>
        <v>3785.7119999999995</v>
      </c>
      <c r="P41" s="35" t="s">
        <v>13</v>
      </c>
    </row>
    <row r="42" spans="1:16" x14ac:dyDescent="0.3">
      <c r="A42" s="39">
        <v>85</v>
      </c>
      <c r="B42" s="39" t="s">
        <v>65</v>
      </c>
      <c r="C42" s="41" t="s">
        <v>64</v>
      </c>
      <c r="D42" s="41" t="s">
        <v>63</v>
      </c>
      <c r="E42" s="40" t="s">
        <v>144</v>
      </c>
      <c r="F42" s="47" t="s">
        <v>158</v>
      </c>
      <c r="G42" s="47" t="s">
        <v>157</v>
      </c>
      <c r="H42" s="46">
        <v>2020</v>
      </c>
      <c r="I42" s="46">
        <v>2021</v>
      </c>
      <c r="J42" s="46" t="s">
        <v>274</v>
      </c>
      <c r="K42" s="46" t="s">
        <v>273</v>
      </c>
      <c r="L42" s="46">
        <v>5161525</v>
      </c>
      <c r="M42" s="45">
        <v>37290.462</v>
      </c>
      <c r="N42" s="43">
        <v>33504.75</v>
      </c>
      <c r="O42" s="43">
        <f>Tabela1[[#This Row],[FRANQUIA AON-HDI]]-Tabela1[[#This Row],[FRANQUIA INTERBROK - SURA]]</f>
        <v>3785.7119999999995</v>
      </c>
      <c r="P42" s="35" t="s">
        <v>13</v>
      </c>
    </row>
    <row r="43" spans="1:16" x14ac:dyDescent="0.3">
      <c r="A43" s="39">
        <v>87</v>
      </c>
      <c r="B43" s="39" t="s">
        <v>65</v>
      </c>
      <c r="C43" s="41" t="s">
        <v>64</v>
      </c>
      <c r="D43" s="41" t="s">
        <v>63</v>
      </c>
      <c r="E43" s="40" t="s">
        <v>144</v>
      </c>
      <c r="F43" s="47" t="s">
        <v>158</v>
      </c>
      <c r="G43" s="47" t="s">
        <v>157</v>
      </c>
      <c r="H43" s="46">
        <v>2020</v>
      </c>
      <c r="I43" s="46">
        <v>2021</v>
      </c>
      <c r="J43" s="46" t="s">
        <v>272</v>
      </c>
      <c r="K43" s="46" t="s">
        <v>271</v>
      </c>
      <c r="L43" s="46">
        <v>5161525</v>
      </c>
      <c r="M43" s="45">
        <v>37290.462</v>
      </c>
      <c r="N43" s="43">
        <v>33504.75</v>
      </c>
      <c r="O43" s="43">
        <f>Tabela1[[#This Row],[FRANQUIA AON-HDI]]-Tabela1[[#This Row],[FRANQUIA INTERBROK - SURA]]</f>
        <v>3785.7119999999995</v>
      </c>
      <c r="P43" s="35" t="s">
        <v>13</v>
      </c>
    </row>
    <row r="44" spans="1:16" x14ac:dyDescent="0.3">
      <c r="A44" s="39">
        <v>88</v>
      </c>
      <c r="B44" s="39" t="s">
        <v>65</v>
      </c>
      <c r="C44" s="41" t="s">
        <v>64</v>
      </c>
      <c r="D44" s="41" t="s">
        <v>63</v>
      </c>
      <c r="E44" s="40" t="s">
        <v>144</v>
      </c>
      <c r="F44" s="47" t="s">
        <v>158</v>
      </c>
      <c r="G44" s="47" t="s">
        <v>157</v>
      </c>
      <c r="H44" s="46">
        <v>2020</v>
      </c>
      <c r="I44" s="46">
        <v>2021</v>
      </c>
      <c r="J44" s="46" t="s">
        <v>270</v>
      </c>
      <c r="K44" s="46" t="s">
        <v>269</v>
      </c>
      <c r="L44" s="46">
        <v>5161525</v>
      </c>
      <c r="M44" s="45">
        <v>37290.462</v>
      </c>
      <c r="N44" s="43">
        <v>33504.75</v>
      </c>
      <c r="O44" s="43">
        <f>Tabela1[[#This Row],[FRANQUIA AON-HDI]]-Tabela1[[#This Row],[FRANQUIA INTERBROK - SURA]]</f>
        <v>3785.7119999999995</v>
      </c>
      <c r="P44" s="35" t="s">
        <v>13</v>
      </c>
    </row>
    <row r="45" spans="1:16" x14ac:dyDescent="0.3">
      <c r="A45" s="39">
        <v>89</v>
      </c>
      <c r="B45" s="39" t="s">
        <v>65</v>
      </c>
      <c r="C45" s="41" t="s">
        <v>64</v>
      </c>
      <c r="D45" s="41" t="s">
        <v>63</v>
      </c>
      <c r="E45" s="40" t="s">
        <v>144</v>
      </c>
      <c r="F45" s="47" t="s">
        <v>158</v>
      </c>
      <c r="G45" s="47" t="s">
        <v>157</v>
      </c>
      <c r="H45" s="46">
        <v>2020</v>
      </c>
      <c r="I45" s="46">
        <v>2021</v>
      </c>
      <c r="J45" s="46" t="s">
        <v>268</v>
      </c>
      <c r="K45" s="46" t="s">
        <v>267</v>
      </c>
      <c r="L45" s="46">
        <v>5161525</v>
      </c>
      <c r="M45" s="45">
        <v>37290.462</v>
      </c>
      <c r="N45" s="43">
        <v>33504.75</v>
      </c>
      <c r="O45" s="43">
        <f>Tabela1[[#This Row],[FRANQUIA AON-HDI]]-Tabela1[[#This Row],[FRANQUIA INTERBROK - SURA]]</f>
        <v>3785.7119999999995</v>
      </c>
      <c r="P45" s="35" t="s">
        <v>13</v>
      </c>
    </row>
    <row r="46" spans="1:16" x14ac:dyDescent="0.3">
      <c r="A46" s="39">
        <v>90</v>
      </c>
      <c r="B46" s="39" t="s">
        <v>65</v>
      </c>
      <c r="C46" s="41" t="s">
        <v>64</v>
      </c>
      <c r="D46" s="41" t="s">
        <v>63</v>
      </c>
      <c r="E46" s="40" t="s">
        <v>144</v>
      </c>
      <c r="F46" s="47" t="s">
        <v>158</v>
      </c>
      <c r="G46" s="47" t="s">
        <v>157</v>
      </c>
      <c r="H46" s="46">
        <v>2020</v>
      </c>
      <c r="I46" s="46">
        <v>2021</v>
      </c>
      <c r="J46" s="46" t="s">
        <v>266</v>
      </c>
      <c r="K46" s="46" t="s">
        <v>265</v>
      </c>
      <c r="L46" s="46">
        <v>5161525</v>
      </c>
      <c r="M46" s="45">
        <v>37290.462</v>
      </c>
      <c r="N46" s="43">
        <v>33504.75</v>
      </c>
      <c r="O46" s="43">
        <f>Tabela1[[#This Row],[FRANQUIA AON-HDI]]-Tabela1[[#This Row],[FRANQUIA INTERBROK - SURA]]</f>
        <v>3785.7119999999995</v>
      </c>
      <c r="P46" s="35" t="s">
        <v>13</v>
      </c>
    </row>
    <row r="47" spans="1:16" x14ac:dyDescent="0.3">
      <c r="A47" s="39">
        <v>94</v>
      </c>
      <c r="B47" s="39" t="s">
        <v>65</v>
      </c>
      <c r="C47" s="41" t="s">
        <v>64</v>
      </c>
      <c r="D47" s="41" t="s">
        <v>63</v>
      </c>
      <c r="E47" s="40" t="s">
        <v>144</v>
      </c>
      <c r="F47" s="47" t="s">
        <v>158</v>
      </c>
      <c r="G47" s="47" t="s">
        <v>157</v>
      </c>
      <c r="H47" s="46">
        <v>2020</v>
      </c>
      <c r="I47" s="46">
        <v>2021</v>
      </c>
      <c r="J47" s="46" t="s">
        <v>264</v>
      </c>
      <c r="K47" s="46" t="s">
        <v>263</v>
      </c>
      <c r="L47" s="46">
        <v>5161525</v>
      </c>
      <c r="M47" s="45">
        <v>37290.462</v>
      </c>
      <c r="N47" s="43">
        <v>33504.75</v>
      </c>
      <c r="O47" s="43">
        <f>Tabela1[[#This Row],[FRANQUIA AON-HDI]]-Tabela1[[#This Row],[FRANQUIA INTERBROK - SURA]]</f>
        <v>3785.7119999999995</v>
      </c>
      <c r="P47" s="35" t="s">
        <v>13</v>
      </c>
    </row>
    <row r="48" spans="1:16" x14ac:dyDescent="0.3">
      <c r="A48" s="39">
        <v>93</v>
      </c>
      <c r="B48" s="39" t="s">
        <v>65</v>
      </c>
      <c r="C48" s="41" t="s">
        <v>64</v>
      </c>
      <c r="D48" s="41" t="s">
        <v>63</v>
      </c>
      <c r="E48" s="40" t="s">
        <v>144</v>
      </c>
      <c r="F48" s="47" t="s">
        <v>158</v>
      </c>
      <c r="G48" s="47" t="s">
        <v>157</v>
      </c>
      <c r="H48" s="46">
        <v>2020</v>
      </c>
      <c r="I48" s="46">
        <v>2021</v>
      </c>
      <c r="J48" s="46" t="s">
        <v>262</v>
      </c>
      <c r="K48" s="46" t="s">
        <v>261</v>
      </c>
      <c r="L48" s="46">
        <v>5161525</v>
      </c>
      <c r="M48" s="45">
        <v>37290.462</v>
      </c>
      <c r="N48" s="43">
        <v>33504.75</v>
      </c>
      <c r="O48" s="43">
        <f>Tabela1[[#This Row],[FRANQUIA AON-HDI]]-Tabela1[[#This Row],[FRANQUIA INTERBROK - SURA]]</f>
        <v>3785.7119999999995</v>
      </c>
      <c r="P48" s="35" t="s">
        <v>13</v>
      </c>
    </row>
    <row r="49" spans="1:16" x14ac:dyDescent="0.3">
      <c r="A49" s="39">
        <v>92</v>
      </c>
      <c r="B49" s="39" t="s">
        <v>65</v>
      </c>
      <c r="C49" s="41" t="s">
        <v>64</v>
      </c>
      <c r="D49" s="41" t="s">
        <v>63</v>
      </c>
      <c r="E49" s="40" t="s">
        <v>144</v>
      </c>
      <c r="F49" s="47" t="s">
        <v>158</v>
      </c>
      <c r="G49" s="47" t="s">
        <v>157</v>
      </c>
      <c r="H49" s="46">
        <v>2020</v>
      </c>
      <c r="I49" s="46">
        <v>2021</v>
      </c>
      <c r="J49" s="46" t="s">
        <v>260</v>
      </c>
      <c r="K49" s="46" t="s">
        <v>259</v>
      </c>
      <c r="L49" s="46">
        <v>5161525</v>
      </c>
      <c r="M49" s="45">
        <v>37290.462</v>
      </c>
      <c r="N49" s="43">
        <v>33504.75</v>
      </c>
      <c r="O49" s="43">
        <f>Tabela1[[#This Row],[FRANQUIA AON-HDI]]-Tabela1[[#This Row],[FRANQUIA INTERBROK - SURA]]</f>
        <v>3785.7119999999995</v>
      </c>
      <c r="P49" s="35" t="s">
        <v>13</v>
      </c>
    </row>
    <row r="50" spans="1:16" x14ac:dyDescent="0.3">
      <c r="A50" s="39">
        <v>99</v>
      </c>
      <c r="B50" s="39" t="s">
        <v>65</v>
      </c>
      <c r="C50" s="41" t="s">
        <v>64</v>
      </c>
      <c r="D50" s="41" t="s">
        <v>63</v>
      </c>
      <c r="E50" s="40" t="s">
        <v>144</v>
      </c>
      <c r="F50" s="47" t="s">
        <v>158</v>
      </c>
      <c r="G50" s="47" t="s">
        <v>157</v>
      </c>
      <c r="H50" s="46">
        <v>2020</v>
      </c>
      <c r="I50" s="46">
        <v>2021</v>
      </c>
      <c r="J50" s="46" t="s">
        <v>258</v>
      </c>
      <c r="K50" s="46" t="s">
        <v>257</v>
      </c>
      <c r="L50" s="46">
        <v>5161525</v>
      </c>
      <c r="M50" s="45">
        <v>37290.462</v>
      </c>
      <c r="N50" s="43">
        <v>33504.75</v>
      </c>
      <c r="O50" s="43">
        <f>Tabela1[[#This Row],[FRANQUIA AON-HDI]]-Tabela1[[#This Row],[FRANQUIA INTERBROK - SURA]]</f>
        <v>3785.7119999999995</v>
      </c>
      <c r="P50" s="35" t="s">
        <v>13</v>
      </c>
    </row>
    <row r="51" spans="1:16" x14ac:dyDescent="0.3">
      <c r="A51" s="39">
        <v>91</v>
      </c>
      <c r="B51" s="39" t="s">
        <v>65</v>
      </c>
      <c r="C51" s="41" t="s">
        <v>64</v>
      </c>
      <c r="D51" s="41" t="s">
        <v>63</v>
      </c>
      <c r="E51" s="40" t="s">
        <v>144</v>
      </c>
      <c r="F51" s="47" t="s">
        <v>158</v>
      </c>
      <c r="G51" s="47" t="s">
        <v>157</v>
      </c>
      <c r="H51" s="46">
        <v>2020</v>
      </c>
      <c r="I51" s="46">
        <v>2021</v>
      </c>
      <c r="J51" s="46" t="s">
        <v>256</v>
      </c>
      <c r="K51" s="46" t="s">
        <v>255</v>
      </c>
      <c r="L51" s="46">
        <v>5161525</v>
      </c>
      <c r="M51" s="45">
        <v>37290.462</v>
      </c>
      <c r="N51" s="43">
        <v>33504.75</v>
      </c>
      <c r="O51" s="43">
        <f>Tabela1[[#This Row],[FRANQUIA AON-HDI]]-Tabela1[[#This Row],[FRANQUIA INTERBROK - SURA]]</f>
        <v>3785.7119999999995</v>
      </c>
      <c r="P51" s="35" t="s">
        <v>13</v>
      </c>
    </row>
    <row r="52" spans="1:16" x14ac:dyDescent="0.3">
      <c r="A52" s="39">
        <v>95</v>
      </c>
      <c r="B52" s="39" t="s">
        <v>65</v>
      </c>
      <c r="C52" s="41" t="s">
        <v>64</v>
      </c>
      <c r="D52" s="41" t="s">
        <v>63</v>
      </c>
      <c r="E52" s="40" t="s">
        <v>144</v>
      </c>
      <c r="F52" s="47" t="s">
        <v>158</v>
      </c>
      <c r="G52" s="47" t="s">
        <v>157</v>
      </c>
      <c r="H52" s="46">
        <v>2020</v>
      </c>
      <c r="I52" s="46">
        <v>2021</v>
      </c>
      <c r="J52" s="46" t="s">
        <v>254</v>
      </c>
      <c r="K52" s="46" t="s">
        <v>253</v>
      </c>
      <c r="L52" s="46">
        <v>5161525</v>
      </c>
      <c r="M52" s="45">
        <v>37290.462</v>
      </c>
      <c r="N52" s="43">
        <v>33504.75</v>
      </c>
      <c r="O52" s="43">
        <f>Tabela1[[#This Row],[FRANQUIA AON-HDI]]-Tabela1[[#This Row],[FRANQUIA INTERBROK - SURA]]</f>
        <v>3785.7119999999995</v>
      </c>
      <c r="P52" s="35" t="s">
        <v>13</v>
      </c>
    </row>
    <row r="53" spans="1:16" x14ac:dyDescent="0.3">
      <c r="A53" s="39">
        <v>97</v>
      </c>
      <c r="B53" s="39" t="s">
        <v>65</v>
      </c>
      <c r="C53" s="41" t="s">
        <v>64</v>
      </c>
      <c r="D53" s="41" t="s">
        <v>63</v>
      </c>
      <c r="E53" s="40" t="s">
        <v>144</v>
      </c>
      <c r="F53" s="47" t="s">
        <v>158</v>
      </c>
      <c r="G53" s="47" t="s">
        <v>157</v>
      </c>
      <c r="H53" s="46">
        <v>2020</v>
      </c>
      <c r="I53" s="46">
        <v>2021</v>
      </c>
      <c r="J53" s="46" t="s">
        <v>252</v>
      </c>
      <c r="K53" s="46" t="s">
        <v>251</v>
      </c>
      <c r="L53" s="46">
        <v>5161525</v>
      </c>
      <c r="M53" s="45">
        <v>37290.462</v>
      </c>
      <c r="N53" s="43">
        <v>33504.75</v>
      </c>
      <c r="O53" s="43">
        <f>Tabela1[[#This Row],[FRANQUIA AON-HDI]]-Tabela1[[#This Row],[FRANQUIA INTERBROK - SURA]]</f>
        <v>3785.7119999999995</v>
      </c>
      <c r="P53" s="35" t="s">
        <v>13</v>
      </c>
    </row>
    <row r="54" spans="1:16" x14ac:dyDescent="0.3">
      <c r="A54" s="39">
        <v>98</v>
      </c>
      <c r="B54" s="39" t="s">
        <v>65</v>
      </c>
      <c r="C54" s="41" t="s">
        <v>64</v>
      </c>
      <c r="D54" s="41" t="s">
        <v>63</v>
      </c>
      <c r="E54" s="40" t="s">
        <v>144</v>
      </c>
      <c r="F54" s="47" t="s">
        <v>158</v>
      </c>
      <c r="G54" s="47" t="s">
        <v>157</v>
      </c>
      <c r="H54" s="46">
        <v>2020</v>
      </c>
      <c r="I54" s="46">
        <v>2021</v>
      </c>
      <c r="J54" s="46" t="s">
        <v>250</v>
      </c>
      <c r="K54" s="46" t="s">
        <v>249</v>
      </c>
      <c r="L54" s="46">
        <v>5161525</v>
      </c>
      <c r="M54" s="45">
        <v>37290.462</v>
      </c>
      <c r="N54" s="43">
        <v>33504.75</v>
      </c>
      <c r="O54" s="43">
        <f>Tabela1[[#This Row],[FRANQUIA AON-HDI]]-Tabela1[[#This Row],[FRANQUIA INTERBROK - SURA]]</f>
        <v>3785.7119999999995</v>
      </c>
      <c r="P54" s="35" t="s">
        <v>13</v>
      </c>
    </row>
    <row r="55" spans="1:16" x14ac:dyDescent="0.3">
      <c r="A55" s="39">
        <v>96</v>
      </c>
      <c r="B55" s="39" t="s">
        <v>65</v>
      </c>
      <c r="C55" s="41" t="s">
        <v>64</v>
      </c>
      <c r="D55" s="41" t="s">
        <v>63</v>
      </c>
      <c r="E55" s="40" t="s">
        <v>144</v>
      </c>
      <c r="F55" s="47" t="s">
        <v>158</v>
      </c>
      <c r="G55" s="47" t="s">
        <v>157</v>
      </c>
      <c r="H55" s="46">
        <v>2020</v>
      </c>
      <c r="I55" s="46">
        <v>2021</v>
      </c>
      <c r="J55" s="46" t="s">
        <v>248</v>
      </c>
      <c r="K55" s="46" t="s">
        <v>247</v>
      </c>
      <c r="L55" s="46">
        <v>5161525</v>
      </c>
      <c r="M55" s="45">
        <v>37290.462</v>
      </c>
      <c r="N55" s="43">
        <v>33504.75</v>
      </c>
      <c r="O55" s="43">
        <f>Tabela1[[#This Row],[FRANQUIA AON-HDI]]-Tabela1[[#This Row],[FRANQUIA INTERBROK - SURA]]</f>
        <v>3785.7119999999995</v>
      </c>
      <c r="P55" s="35" t="s">
        <v>13</v>
      </c>
    </row>
    <row r="56" spans="1:16" x14ac:dyDescent="0.3">
      <c r="A56" s="39">
        <v>102</v>
      </c>
      <c r="B56" s="39" t="s">
        <v>65</v>
      </c>
      <c r="C56" s="41" t="s">
        <v>64</v>
      </c>
      <c r="D56" s="41" t="s">
        <v>63</v>
      </c>
      <c r="E56" s="40" t="s">
        <v>144</v>
      </c>
      <c r="F56" s="47" t="s">
        <v>158</v>
      </c>
      <c r="G56" s="47" t="s">
        <v>157</v>
      </c>
      <c r="H56" s="46">
        <v>2020</v>
      </c>
      <c r="I56" s="46">
        <v>2021</v>
      </c>
      <c r="J56" s="46" t="s">
        <v>246</v>
      </c>
      <c r="K56" s="46" t="s">
        <v>245</v>
      </c>
      <c r="L56" s="46">
        <v>5161525</v>
      </c>
      <c r="M56" s="45">
        <v>37290.462</v>
      </c>
      <c r="N56" s="43">
        <v>33504.75</v>
      </c>
      <c r="O56" s="43">
        <f>Tabela1[[#This Row],[FRANQUIA AON-HDI]]-Tabela1[[#This Row],[FRANQUIA INTERBROK - SURA]]</f>
        <v>3785.7119999999995</v>
      </c>
      <c r="P56" s="35" t="s">
        <v>13</v>
      </c>
    </row>
    <row r="57" spans="1:16" x14ac:dyDescent="0.3">
      <c r="A57" s="39">
        <v>100</v>
      </c>
      <c r="B57" s="39" t="s">
        <v>65</v>
      </c>
      <c r="C57" s="41" t="s">
        <v>64</v>
      </c>
      <c r="D57" s="41" t="s">
        <v>63</v>
      </c>
      <c r="E57" s="40" t="s">
        <v>144</v>
      </c>
      <c r="F57" s="47" t="s">
        <v>158</v>
      </c>
      <c r="G57" s="47" t="s">
        <v>157</v>
      </c>
      <c r="H57" s="46">
        <v>2020</v>
      </c>
      <c r="I57" s="46">
        <v>2021</v>
      </c>
      <c r="J57" s="46" t="s">
        <v>244</v>
      </c>
      <c r="K57" s="46" t="s">
        <v>243</v>
      </c>
      <c r="L57" s="46">
        <v>5161525</v>
      </c>
      <c r="M57" s="45">
        <v>37290.462</v>
      </c>
      <c r="N57" s="43">
        <v>33504.75</v>
      </c>
      <c r="O57" s="43">
        <f>Tabela1[[#This Row],[FRANQUIA AON-HDI]]-Tabela1[[#This Row],[FRANQUIA INTERBROK - SURA]]</f>
        <v>3785.7119999999995</v>
      </c>
      <c r="P57" s="35" t="s">
        <v>13</v>
      </c>
    </row>
    <row r="58" spans="1:16" x14ac:dyDescent="0.3">
      <c r="A58" s="39">
        <v>101</v>
      </c>
      <c r="B58" s="39" t="s">
        <v>65</v>
      </c>
      <c r="C58" s="41" t="s">
        <v>64</v>
      </c>
      <c r="D58" s="41" t="s">
        <v>63</v>
      </c>
      <c r="E58" s="40" t="s">
        <v>144</v>
      </c>
      <c r="F58" s="47" t="s">
        <v>158</v>
      </c>
      <c r="G58" s="47" t="s">
        <v>157</v>
      </c>
      <c r="H58" s="46">
        <v>2020</v>
      </c>
      <c r="I58" s="46">
        <v>2021</v>
      </c>
      <c r="J58" s="46" t="s">
        <v>242</v>
      </c>
      <c r="K58" s="46" t="s">
        <v>241</v>
      </c>
      <c r="L58" s="46">
        <v>5161525</v>
      </c>
      <c r="M58" s="45">
        <v>37290.462</v>
      </c>
      <c r="N58" s="43">
        <v>33504.75</v>
      </c>
      <c r="O58" s="43">
        <f>Tabela1[[#This Row],[FRANQUIA AON-HDI]]-Tabela1[[#This Row],[FRANQUIA INTERBROK - SURA]]</f>
        <v>3785.7119999999995</v>
      </c>
      <c r="P58" s="35" t="s">
        <v>13</v>
      </c>
    </row>
    <row r="59" spans="1:16" x14ac:dyDescent="0.3">
      <c r="A59" s="39">
        <v>16</v>
      </c>
      <c r="B59" s="39" t="s">
        <v>65</v>
      </c>
      <c r="C59" s="41" t="s">
        <v>64</v>
      </c>
      <c r="D59" s="41" t="s">
        <v>63</v>
      </c>
      <c r="E59" s="40" t="s">
        <v>79</v>
      </c>
      <c r="F59" s="39" t="s">
        <v>232</v>
      </c>
      <c r="G59" s="39" t="s">
        <v>231</v>
      </c>
      <c r="H59" s="39">
        <v>2014</v>
      </c>
      <c r="I59" s="39">
        <v>2014</v>
      </c>
      <c r="J59" s="39" t="s">
        <v>240</v>
      </c>
      <c r="K59" s="39" t="s">
        <v>239</v>
      </c>
      <c r="L59" s="39">
        <v>5132215</v>
      </c>
      <c r="M59" s="38">
        <v>21524.9571</v>
      </c>
      <c r="N59" s="43">
        <v>17628.88</v>
      </c>
      <c r="O59" s="43">
        <f>Tabela1[[#This Row],[FRANQUIA AON-HDI]]-Tabela1[[#This Row],[FRANQUIA INTERBROK - SURA]]</f>
        <v>3896.0770999999986</v>
      </c>
      <c r="P59" s="35" t="s">
        <v>13</v>
      </c>
    </row>
    <row r="60" spans="1:16" x14ac:dyDescent="0.3">
      <c r="A60" s="39">
        <v>15</v>
      </c>
      <c r="B60" s="39" t="s">
        <v>65</v>
      </c>
      <c r="C60" s="41" t="s">
        <v>64</v>
      </c>
      <c r="D60" s="41" t="s">
        <v>63</v>
      </c>
      <c r="E60" s="40" t="s">
        <v>79</v>
      </c>
      <c r="F60" s="39" t="s">
        <v>232</v>
      </c>
      <c r="G60" s="39" t="s">
        <v>231</v>
      </c>
      <c r="H60" s="39">
        <v>2014</v>
      </c>
      <c r="I60" s="39">
        <v>2014</v>
      </c>
      <c r="J60" s="39" t="s">
        <v>238</v>
      </c>
      <c r="K60" s="39" t="s">
        <v>237</v>
      </c>
      <c r="L60" s="39">
        <v>5132215</v>
      </c>
      <c r="M60" s="38">
        <v>21524.9571</v>
      </c>
      <c r="N60" s="43">
        <v>17628.88</v>
      </c>
      <c r="O60" s="43">
        <f>Tabela1[[#This Row],[FRANQUIA AON-HDI]]-Tabela1[[#This Row],[FRANQUIA INTERBROK - SURA]]</f>
        <v>3896.0770999999986</v>
      </c>
      <c r="P60" s="35" t="s">
        <v>13</v>
      </c>
    </row>
    <row r="61" spans="1:16" x14ac:dyDescent="0.3">
      <c r="A61" s="39">
        <v>17</v>
      </c>
      <c r="B61" s="39" t="s">
        <v>65</v>
      </c>
      <c r="C61" s="41" t="s">
        <v>64</v>
      </c>
      <c r="D61" s="41" t="s">
        <v>63</v>
      </c>
      <c r="E61" s="40" t="s">
        <v>79</v>
      </c>
      <c r="F61" s="39" t="s">
        <v>232</v>
      </c>
      <c r="G61" s="39" t="s">
        <v>231</v>
      </c>
      <c r="H61" s="39">
        <v>2014</v>
      </c>
      <c r="I61" s="39">
        <v>2014</v>
      </c>
      <c r="J61" s="39" t="s">
        <v>236</v>
      </c>
      <c r="K61" s="39" t="s">
        <v>235</v>
      </c>
      <c r="L61" s="39">
        <v>5132215</v>
      </c>
      <c r="M61" s="38">
        <v>21524.9571</v>
      </c>
      <c r="N61" s="43">
        <v>17628.88</v>
      </c>
      <c r="O61" s="43">
        <f>Tabela1[[#This Row],[FRANQUIA AON-HDI]]-Tabela1[[#This Row],[FRANQUIA INTERBROK - SURA]]</f>
        <v>3896.0770999999986</v>
      </c>
      <c r="P61" s="35" t="s">
        <v>13</v>
      </c>
    </row>
    <row r="62" spans="1:16" x14ac:dyDescent="0.3">
      <c r="A62" s="39">
        <v>18</v>
      </c>
      <c r="B62" s="39" t="s">
        <v>65</v>
      </c>
      <c r="C62" s="41" t="s">
        <v>64</v>
      </c>
      <c r="D62" s="41" t="s">
        <v>63</v>
      </c>
      <c r="E62" s="40" t="s">
        <v>79</v>
      </c>
      <c r="F62" s="39" t="s">
        <v>232</v>
      </c>
      <c r="G62" s="39" t="s">
        <v>231</v>
      </c>
      <c r="H62" s="39">
        <v>2014</v>
      </c>
      <c r="I62" s="39">
        <v>2014</v>
      </c>
      <c r="J62" s="39" t="s">
        <v>234</v>
      </c>
      <c r="K62" s="39" t="s">
        <v>233</v>
      </c>
      <c r="L62" s="39">
        <v>5132215</v>
      </c>
      <c r="M62" s="38">
        <v>21524.9571</v>
      </c>
      <c r="N62" s="43">
        <v>17628.88</v>
      </c>
      <c r="O62" s="43">
        <f>Tabela1[[#This Row],[FRANQUIA AON-HDI]]-Tabela1[[#This Row],[FRANQUIA INTERBROK - SURA]]</f>
        <v>3896.0770999999986</v>
      </c>
      <c r="P62" s="35" t="s">
        <v>13</v>
      </c>
    </row>
    <row r="63" spans="1:16" x14ac:dyDescent="0.3">
      <c r="A63" s="39">
        <v>19</v>
      </c>
      <c r="B63" s="39" t="s">
        <v>65</v>
      </c>
      <c r="C63" s="41" t="s">
        <v>64</v>
      </c>
      <c r="D63" s="41" t="s">
        <v>63</v>
      </c>
      <c r="E63" s="40" t="s">
        <v>79</v>
      </c>
      <c r="F63" s="39" t="s">
        <v>232</v>
      </c>
      <c r="G63" s="39" t="s">
        <v>231</v>
      </c>
      <c r="H63" s="39">
        <v>2014</v>
      </c>
      <c r="I63" s="39">
        <v>2014</v>
      </c>
      <c r="J63" s="39" t="s">
        <v>230</v>
      </c>
      <c r="K63" s="39" t="s">
        <v>229</v>
      </c>
      <c r="L63" s="39">
        <v>5132215</v>
      </c>
      <c r="M63" s="38">
        <v>21524.9571</v>
      </c>
      <c r="N63" s="43">
        <v>17628.88</v>
      </c>
      <c r="O63" s="43">
        <f>Tabela1[[#This Row],[FRANQUIA AON-HDI]]-Tabela1[[#This Row],[FRANQUIA INTERBROK - SURA]]</f>
        <v>3896.0770999999986</v>
      </c>
      <c r="P63" s="35" t="s">
        <v>13</v>
      </c>
    </row>
    <row r="64" spans="1:16" x14ac:dyDescent="0.3">
      <c r="A64" s="39">
        <v>51</v>
      </c>
      <c r="B64" s="39" t="s">
        <v>65</v>
      </c>
      <c r="C64" s="41" t="s">
        <v>64</v>
      </c>
      <c r="D64" s="41" t="s">
        <v>63</v>
      </c>
      <c r="E64" s="40" t="s">
        <v>79</v>
      </c>
      <c r="F64" s="39" t="s">
        <v>158</v>
      </c>
      <c r="G64" s="39" t="s">
        <v>157</v>
      </c>
      <c r="H64" s="39">
        <v>2018</v>
      </c>
      <c r="I64" s="39">
        <v>2019</v>
      </c>
      <c r="J64" s="39" t="s">
        <v>228</v>
      </c>
      <c r="K64" s="39" t="s">
        <v>227</v>
      </c>
      <c r="L64" s="39">
        <v>5161525</v>
      </c>
      <c r="M64" s="38">
        <v>31380.769499999999</v>
      </c>
      <c r="N64" s="37">
        <v>27224.55</v>
      </c>
      <c r="O64" s="37">
        <f>Tabela1[[#This Row],[FRANQUIA AON-HDI]]-Tabela1[[#This Row],[FRANQUIA INTERBROK - SURA]]</f>
        <v>4156.2194999999992</v>
      </c>
      <c r="P64" s="35" t="s">
        <v>13</v>
      </c>
    </row>
    <row r="65" spans="1:16" x14ac:dyDescent="0.3">
      <c r="A65" s="39">
        <v>56</v>
      </c>
      <c r="B65" s="39" t="s">
        <v>65</v>
      </c>
      <c r="C65" s="41" t="s">
        <v>64</v>
      </c>
      <c r="D65" s="41" t="s">
        <v>63</v>
      </c>
      <c r="E65" s="40" t="s">
        <v>196</v>
      </c>
      <c r="F65" s="39" t="s">
        <v>158</v>
      </c>
      <c r="G65" s="39" t="s">
        <v>157</v>
      </c>
      <c r="H65" s="39">
        <v>2018</v>
      </c>
      <c r="I65" s="39">
        <v>2019</v>
      </c>
      <c r="J65" s="39" t="s">
        <v>226</v>
      </c>
      <c r="K65" s="39" t="s">
        <v>225</v>
      </c>
      <c r="L65" s="39">
        <v>5161525</v>
      </c>
      <c r="M65" s="38">
        <v>31380.769499999999</v>
      </c>
      <c r="N65" s="37">
        <v>27224.55</v>
      </c>
      <c r="O65" s="37">
        <f>Tabela1[[#This Row],[FRANQUIA AON-HDI]]-Tabela1[[#This Row],[FRANQUIA INTERBROK - SURA]]</f>
        <v>4156.2194999999992</v>
      </c>
      <c r="P65" s="35" t="s">
        <v>13</v>
      </c>
    </row>
    <row r="66" spans="1:16" x14ac:dyDescent="0.3">
      <c r="A66" s="39">
        <v>54</v>
      </c>
      <c r="B66" s="39" t="s">
        <v>65</v>
      </c>
      <c r="C66" s="41" t="s">
        <v>64</v>
      </c>
      <c r="D66" s="41" t="s">
        <v>63</v>
      </c>
      <c r="E66" s="40" t="s">
        <v>196</v>
      </c>
      <c r="F66" s="39" t="s">
        <v>158</v>
      </c>
      <c r="G66" s="39" t="s">
        <v>157</v>
      </c>
      <c r="H66" s="39">
        <v>2018</v>
      </c>
      <c r="I66" s="39">
        <v>2019</v>
      </c>
      <c r="J66" s="39" t="s">
        <v>224</v>
      </c>
      <c r="K66" s="39" t="s">
        <v>223</v>
      </c>
      <c r="L66" s="39">
        <v>5161525</v>
      </c>
      <c r="M66" s="38">
        <v>31380.769499999999</v>
      </c>
      <c r="N66" s="37">
        <v>27224.55</v>
      </c>
      <c r="O66" s="37">
        <f>Tabela1[[#This Row],[FRANQUIA AON-HDI]]-Tabela1[[#This Row],[FRANQUIA INTERBROK - SURA]]</f>
        <v>4156.2194999999992</v>
      </c>
      <c r="P66" s="35" t="s">
        <v>13</v>
      </c>
    </row>
    <row r="67" spans="1:16" x14ac:dyDescent="0.3">
      <c r="A67" s="39">
        <v>53</v>
      </c>
      <c r="B67" s="39" t="s">
        <v>65</v>
      </c>
      <c r="C67" s="41" t="s">
        <v>64</v>
      </c>
      <c r="D67" s="41" t="s">
        <v>63</v>
      </c>
      <c r="E67" s="40" t="s">
        <v>196</v>
      </c>
      <c r="F67" s="39" t="s">
        <v>158</v>
      </c>
      <c r="G67" s="39" t="s">
        <v>157</v>
      </c>
      <c r="H67" s="39">
        <v>2018</v>
      </c>
      <c r="I67" s="39">
        <v>2019</v>
      </c>
      <c r="J67" s="39" t="s">
        <v>222</v>
      </c>
      <c r="K67" s="39" t="s">
        <v>221</v>
      </c>
      <c r="L67" s="39">
        <v>5161525</v>
      </c>
      <c r="M67" s="38">
        <v>31380.769499999999</v>
      </c>
      <c r="N67" s="37">
        <v>27224.55</v>
      </c>
      <c r="O67" s="37">
        <f>Tabela1[[#This Row],[FRANQUIA AON-HDI]]-Tabela1[[#This Row],[FRANQUIA INTERBROK - SURA]]</f>
        <v>4156.2194999999992</v>
      </c>
      <c r="P67" s="35" t="s">
        <v>13</v>
      </c>
    </row>
    <row r="68" spans="1:16" x14ac:dyDescent="0.3">
      <c r="A68" s="39">
        <v>55</v>
      </c>
      <c r="B68" s="39" t="s">
        <v>65</v>
      </c>
      <c r="C68" s="41" t="s">
        <v>64</v>
      </c>
      <c r="D68" s="41" t="s">
        <v>63</v>
      </c>
      <c r="E68" s="40" t="s">
        <v>196</v>
      </c>
      <c r="F68" s="39" t="s">
        <v>158</v>
      </c>
      <c r="G68" s="39" t="s">
        <v>157</v>
      </c>
      <c r="H68" s="39">
        <v>2018</v>
      </c>
      <c r="I68" s="39">
        <v>2019</v>
      </c>
      <c r="J68" s="39" t="s">
        <v>220</v>
      </c>
      <c r="K68" s="39" t="s">
        <v>219</v>
      </c>
      <c r="L68" s="39">
        <v>5161525</v>
      </c>
      <c r="M68" s="38">
        <v>31380.769499999999</v>
      </c>
      <c r="N68" s="37">
        <v>27224.55</v>
      </c>
      <c r="O68" s="37">
        <f>Tabela1[[#This Row],[FRANQUIA AON-HDI]]-Tabela1[[#This Row],[FRANQUIA INTERBROK - SURA]]</f>
        <v>4156.2194999999992</v>
      </c>
      <c r="P68" s="35" t="s">
        <v>13</v>
      </c>
    </row>
    <row r="69" spans="1:16" x14ac:dyDescent="0.3">
      <c r="A69" s="39">
        <v>52</v>
      </c>
      <c r="B69" s="39" t="s">
        <v>65</v>
      </c>
      <c r="C69" s="41" t="s">
        <v>64</v>
      </c>
      <c r="D69" s="41" t="s">
        <v>63</v>
      </c>
      <c r="E69" s="40" t="s">
        <v>79</v>
      </c>
      <c r="F69" s="39" t="s">
        <v>158</v>
      </c>
      <c r="G69" s="39" t="s">
        <v>157</v>
      </c>
      <c r="H69" s="39">
        <v>2018</v>
      </c>
      <c r="I69" s="39">
        <v>2019</v>
      </c>
      <c r="J69" s="39" t="s">
        <v>218</v>
      </c>
      <c r="K69" s="39" t="s">
        <v>217</v>
      </c>
      <c r="L69" s="39">
        <v>5161525</v>
      </c>
      <c r="M69" s="38">
        <v>31380.769499999999</v>
      </c>
      <c r="N69" s="37">
        <v>27224.55</v>
      </c>
      <c r="O69" s="37">
        <f>Tabela1[[#This Row],[FRANQUIA AON-HDI]]-Tabela1[[#This Row],[FRANQUIA INTERBROK - SURA]]</f>
        <v>4156.2194999999992</v>
      </c>
      <c r="P69" s="35" t="s">
        <v>13</v>
      </c>
    </row>
    <row r="70" spans="1:16" x14ac:dyDescent="0.3">
      <c r="A70" s="39">
        <v>58</v>
      </c>
      <c r="B70" s="39" t="s">
        <v>65</v>
      </c>
      <c r="C70" s="41" t="s">
        <v>64</v>
      </c>
      <c r="D70" s="41" t="s">
        <v>63</v>
      </c>
      <c r="E70" s="40" t="s">
        <v>196</v>
      </c>
      <c r="F70" s="39" t="s">
        <v>158</v>
      </c>
      <c r="G70" s="39" t="s">
        <v>157</v>
      </c>
      <c r="H70" s="39">
        <v>2018</v>
      </c>
      <c r="I70" s="39">
        <v>2019</v>
      </c>
      <c r="J70" s="39" t="s">
        <v>216</v>
      </c>
      <c r="K70" s="39" t="s">
        <v>215</v>
      </c>
      <c r="L70" s="39">
        <v>5161525</v>
      </c>
      <c r="M70" s="38">
        <v>31380.769499999999</v>
      </c>
      <c r="N70" s="37">
        <v>27224.55</v>
      </c>
      <c r="O70" s="37">
        <f>Tabela1[[#This Row],[FRANQUIA AON-HDI]]-Tabela1[[#This Row],[FRANQUIA INTERBROK - SURA]]</f>
        <v>4156.2194999999992</v>
      </c>
      <c r="P70" s="35" t="s">
        <v>13</v>
      </c>
    </row>
    <row r="71" spans="1:16" x14ac:dyDescent="0.3">
      <c r="A71" s="39">
        <v>57</v>
      </c>
      <c r="B71" s="39" t="s">
        <v>65</v>
      </c>
      <c r="C71" s="41" t="s">
        <v>64</v>
      </c>
      <c r="D71" s="41" t="s">
        <v>63</v>
      </c>
      <c r="E71" s="40" t="s">
        <v>196</v>
      </c>
      <c r="F71" s="39" t="s">
        <v>158</v>
      </c>
      <c r="G71" s="39" t="s">
        <v>157</v>
      </c>
      <c r="H71" s="39">
        <v>2018</v>
      </c>
      <c r="I71" s="39">
        <v>2019</v>
      </c>
      <c r="J71" s="39" t="s">
        <v>214</v>
      </c>
      <c r="K71" s="39" t="s">
        <v>213</v>
      </c>
      <c r="L71" s="39">
        <v>5161525</v>
      </c>
      <c r="M71" s="38">
        <v>31380.769499999999</v>
      </c>
      <c r="N71" s="37">
        <v>27224.55</v>
      </c>
      <c r="O71" s="37">
        <f>Tabela1[[#This Row],[FRANQUIA AON-HDI]]-Tabela1[[#This Row],[FRANQUIA INTERBROK - SURA]]</f>
        <v>4156.2194999999992</v>
      </c>
      <c r="P71" s="35" t="s">
        <v>13</v>
      </c>
    </row>
    <row r="72" spans="1:16" x14ac:dyDescent="0.3">
      <c r="A72" s="39">
        <v>50</v>
      </c>
      <c r="B72" s="39" t="s">
        <v>65</v>
      </c>
      <c r="C72" s="41" t="s">
        <v>64</v>
      </c>
      <c r="D72" s="41" t="s">
        <v>63</v>
      </c>
      <c r="E72" s="40" t="s">
        <v>79</v>
      </c>
      <c r="F72" s="39" t="s">
        <v>158</v>
      </c>
      <c r="G72" s="39" t="s">
        <v>157</v>
      </c>
      <c r="H72" s="39">
        <v>2018</v>
      </c>
      <c r="I72" s="39">
        <v>2019</v>
      </c>
      <c r="J72" s="39" t="s">
        <v>212</v>
      </c>
      <c r="K72" s="39" t="s">
        <v>211</v>
      </c>
      <c r="L72" s="39">
        <v>5161525</v>
      </c>
      <c r="M72" s="38">
        <v>31380.769499999999</v>
      </c>
      <c r="N72" s="37">
        <v>27224.55</v>
      </c>
      <c r="O72" s="37">
        <f>Tabela1[[#This Row],[FRANQUIA AON-HDI]]-Tabela1[[#This Row],[FRANQUIA INTERBROK - SURA]]</f>
        <v>4156.2194999999992</v>
      </c>
      <c r="P72" s="35" t="s">
        <v>13</v>
      </c>
    </row>
    <row r="73" spans="1:16" x14ac:dyDescent="0.3">
      <c r="A73" s="39">
        <v>65</v>
      </c>
      <c r="B73" s="39" t="s">
        <v>65</v>
      </c>
      <c r="C73" s="41" t="s">
        <v>64</v>
      </c>
      <c r="D73" s="41" t="s">
        <v>63</v>
      </c>
      <c r="E73" s="40" t="s">
        <v>165</v>
      </c>
      <c r="F73" s="47" t="s">
        <v>158</v>
      </c>
      <c r="G73" s="47" t="s">
        <v>157</v>
      </c>
      <c r="H73" s="46">
        <v>2019</v>
      </c>
      <c r="I73" s="46">
        <v>2019</v>
      </c>
      <c r="J73" s="46" t="s">
        <v>210</v>
      </c>
      <c r="K73" s="46" t="s">
        <v>209</v>
      </c>
      <c r="L73" s="46">
        <v>5161525</v>
      </c>
      <c r="M73" s="45">
        <v>31380.769499999999</v>
      </c>
      <c r="N73" s="37">
        <v>27224.55</v>
      </c>
      <c r="O73" s="37">
        <f>Tabela1[[#This Row],[FRANQUIA AON-HDI]]-Tabela1[[#This Row],[FRANQUIA INTERBROK - SURA]]</f>
        <v>4156.2194999999992</v>
      </c>
      <c r="P73" s="35" t="s">
        <v>13</v>
      </c>
    </row>
    <row r="74" spans="1:16" x14ac:dyDescent="0.3">
      <c r="A74" s="39">
        <v>66</v>
      </c>
      <c r="B74" s="39" t="s">
        <v>65</v>
      </c>
      <c r="C74" s="41" t="s">
        <v>64</v>
      </c>
      <c r="D74" s="41" t="s">
        <v>63</v>
      </c>
      <c r="E74" s="40" t="s">
        <v>165</v>
      </c>
      <c r="F74" s="47" t="s">
        <v>158</v>
      </c>
      <c r="G74" s="47" t="s">
        <v>157</v>
      </c>
      <c r="H74" s="46">
        <v>2019</v>
      </c>
      <c r="I74" s="46">
        <v>2019</v>
      </c>
      <c r="J74" s="46" t="s">
        <v>208</v>
      </c>
      <c r="K74" s="46" t="s">
        <v>207</v>
      </c>
      <c r="L74" s="46">
        <v>5161525</v>
      </c>
      <c r="M74" s="45">
        <v>31380.769499999999</v>
      </c>
      <c r="N74" s="37">
        <v>27224.55</v>
      </c>
      <c r="O74" s="37">
        <f>Tabela1[[#This Row],[FRANQUIA AON-HDI]]-Tabela1[[#This Row],[FRANQUIA INTERBROK - SURA]]</f>
        <v>4156.2194999999992</v>
      </c>
      <c r="P74" s="35" t="s">
        <v>13</v>
      </c>
    </row>
    <row r="75" spans="1:16" x14ac:dyDescent="0.3">
      <c r="A75" s="39">
        <v>62</v>
      </c>
      <c r="B75" s="39" t="s">
        <v>65</v>
      </c>
      <c r="C75" s="41" t="s">
        <v>64</v>
      </c>
      <c r="D75" s="41" t="s">
        <v>63</v>
      </c>
      <c r="E75" s="40" t="s">
        <v>196</v>
      </c>
      <c r="F75" s="39" t="s">
        <v>158</v>
      </c>
      <c r="G75" s="39" t="s">
        <v>157</v>
      </c>
      <c r="H75" s="39">
        <v>2019</v>
      </c>
      <c r="I75" s="39">
        <v>2019</v>
      </c>
      <c r="J75" s="39" t="s">
        <v>206</v>
      </c>
      <c r="K75" s="39" t="s">
        <v>205</v>
      </c>
      <c r="L75" s="39">
        <v>5161525</v>
      </c>
      <c r="M75" s="38">
        <v>31380.769499999999</v>
      </c>
      <c r="N75" s="37">
        <v>27224.55</v>
      </c>
      <c r="O75" s="37">
        <f>Tabela1[[#This Row],[FRANQUIA AON-HDI]]-Tabela1[[#This Row],[FRANQUIA INTERBROK - SURA]]</f>
        <v>4156.2194999999992</v>
      </c>
      <c r="P75" s="35" t="s">
        <v>13</v>
      </c>
    </row>
    <row r="76" spans="1:16" x14ac:dyDescent="0.3">
      <c r="A76" s="39">
        <v>64</v>
      </c>
      <c r="B76" s="39" t="s">
        <v>65</v>
      </c>
      <c r="C76" s="41" t="s">
        <v>64</v>
      </c>
      <c r="D76" s="41" t="s">
        <v>63</v>
      </c>
      <c r="E76" s="40" t="s">
        <v>165</v>
      </c>
      <c r="F76" s="47" t="s">
        <v>158</v>
      </c>
      <c r="G76" s="47" t="s">
        <v>157</v>
      </c>
      <c r="H76" s="46">
        <v>2019</v>
      </c>
      <c r="I76" s="46">
        <v>2019</v>
      </c>
      <c r="J76" s="46" t="s">
        <v>204</v>
      </c>
      <c r="K76" s="46" t="s">
        <v>203</v>
      </c>
      <c r="L76" s="46">
        <v>5161525</v>
      </c>
      <c r="M76" s="45">
        <v>31380.769499999999</v>
      </c>
      <c r="N76" s="37">
        <v>27224.55</v>
      </c>
      <c r="O76" s="37">
        <f>Tabela1[[#This Row],[FRANQUIA AON-HDI]]-Tabela1[[#This Row],[FRANQUIA INTERBROK - SURA]]</f>
        <v>4156.2194999999992</v>
      </c>
      <c r="P76" s="35" t="s">
        <v>13</v>
      </c>
    </row>
    <row r="77" spans="1:16" x14ac:dyDescent="0.3">
      <c r="A77" s="39">
        <v>63</v>
      </c>
      <c r="B77" s="39" t="s">
        <v>65</v>
      </c>
      <c r="C77" s="41" t="s">
        <v>64</v>
      </c>
      <c r="D77" s="41" t="s">
        <v>63</v>
      </c>
      <c r="E77" s="40" t="s">
        <v>165</v>
      </c>
      <c r="F77" s="47" t="s">
        <v>158</v>
      </c>
      <c r="G77" s="47" t="s">
        <v>157</v>
      </c>
      <c r="H77" s="46">
        <v>2019</v>
      </c>
      <c r="I77" s="46">
        <v>2019</v>
      </c>
      <c r="J77" s="46" t="s">
        <v>202</v>
      </c>
      <c r="K77" s="46" t="s">
        <v>201</v>
      </c>
      <c r="L77" s="46">
        <v>5161525</v>
      </c>
      <c r="M77" s="45">
        <v>31380.769499999999</v>
      </c>
      <c r="N77" s="37">
        <v>27224.55</v>
      </c>
      <c r="O77" s="37">
        <f>Tabela1[[#This Row],[FRANQUIA AON-HDI]]-Tabela1[[#This Row],[FRANQUIA INTERBROK - SURA]]</f>
        <v>4156.2194999999992</v>
      </c>
      <c r="P77" s="35" t="s">
        <v>13</v>
      </c>
    </row>
    <row r="78" spans="1:16" x14ac:dyDescent="0.3">
      <c r="A78" s="39">
        <v>61</v>
      </c>
      <c r="B78" s="39" t="s">
        <v>65</v>
      </c>
      <c r="C78" s="41" t="s">
        <v>64</v>
      </c>
      <c r="D78" s="41" t="s">
        <v>63</v>
      </c>
      <c r="E78" s="40" t="s">
        <v>196</v>
      </c>
      <c r="F78" s="39" t="s">
        <v>158</v>
      </c>
      <c r="G78" s="39" t="s">
        <v>157</v>
      </c>
      <c r="H78" s="39">
        <v>2019</v>
      </c>
      <c r="I78" s="39">
        <v>2019</v>
      </c>
      <c r="J78" s="39" t="s">
        <v>200</v>
      </c>
      <c r="K78" s="39" t="s">
        <v>199</v>
      </c>
      <c r="L78" s="39">
        <v>5161525</v>
      </c>
      <c r="M78" s="38">
        <v>31380.769499999999</v>
      </c>
      <c r="N78" s="37">
        <v>27224.55</v>
      </c>
      <c r="O78" s="37">
        <f>Tabela1[[#This Row],[FRANQUIA AON-HDI]]-Tabela1[[#This Row],[FRANQUIA INTERBROK - SURA]]</f>
        <v>4156.2194999999992</v>
      </c>
      <c r="P78" s="35" t="s">
        <v>13</v>
      </c>
    </row>
    <row r="79" spans="1:16" x14ac:dyDescent="0.3">
      <c r="A79" s="39">
        <v>60</v>
      </c>
      <c r="B79" s="39" t="s">
        <v>65</v>
      </c>
      <c r="C79" s="41" t="s">
        <v>64</v>
      </c>
      <c r="D79" s="41" t="s">
        <v>63</v>
      </c>
      <c r="E79" s="40" t="s">
        <v>196</v>
      </c>
      <c r="F79" s="39" t="s">
        <v>158</v>
      </c>
      <c r="G79" s="39" t="s">
        <v>157</v>
      </c>
      <c r="H79" s="39">
        <v>2019</v>
      </c>
      <c r="I79" s="39">
        <v>2019</v>
      </c>
      <c r="J79" s="39" t="s">
        <v>198</v>
      </c>
      <c r="K79" s="39" t="s">
        <v>197</v>
      </c>
      <c r="L79" s="39">
        <v>5161525</v>
      </c>
      <c r="M79" s="38">
        <v>31380.769499999999</v>
      </c>
      <c r="N79" s="37">
        <v>27224.55</v>
      </c>
      <c r="O79" s="37">
        <f>Tabela1[[#This Row],[FRANQUIA AON-HDI]]-Tabela1[[#This Row],[FRANQUIA INTERBROK - SURA]]</f>
        <v>4156.2194999999992</v>
      </c>
      <c r="P79" s="35" t="s">
        <v>13</v>
      </c>
    </row>
    <row r="80" spans="1:16" x14ac:dyDescent="0.3">
      <c r="A80" s="39">
        <v>59</v>
      </c>
      <c r="B80" s="39" t="s">
        <v>65</v>
      </c>
      <c r="C80" s="41" t="s">
        <v>64</v>
      </c>
      <c r="D80" s="41" t="s">
        <v>63</v>
      </c>
      <c r="E80" s="40" t="s">
        <v>196</v>
      </c>
      <c r="F80" s="39" t="s">
        <v>158</v>
      </c>
      <c r="G80" s="39" t="s">
        <v>157</v>
      </c>
      <c r="H80" s="39">
        <v>2019</v>
      </c>
      <c r="I80" s="39">
        <v>2019</v>
      </c>
      <c r="J80" s="39" t="s">
        <v>195</v>
      </c>
      <c r="K80" s="39" t="s">
        <v>194</v>
      </c>
      <c r="L80" s="39">
        <v>5161525</v>
      </c>
      <c r="M80" s="38">
        <v>31380.769499999999</v>
      </c>
      <c r="N80" s="37">
        <v>27224.55</v>
      </c>
      <c r="O80" s="37">
        <f>Tabela1[[#This Row],[FRANQUIA AON-HDI]]-Tabela1[[#This Row],[FRANQUIA INTERBROK - SURA]]</f>
        <v>4156.2194999999992</v>
      </c>
      <c r="P80" s="35" t="s">
        <v>13</v>
      </c>
    </row>
    <row r="81" spans="1:16" x14ac:dyDescent="0.3">
      <c r="A81" s="39">
        <v>10</v>
      </c>
      <c r="B81" s="39" t="s">
        <v>65</v>
      </c>
      <c r="C81" s="41" t="s">
        <v>64</v>
      </c>
      <c r="D81" s="41" t="s">
        <v>63</v>
      </c>
      <c r="E81" s="40" t="s">
        <v>79</v>
      </c>
      <c r="F81" s="48" t="s">
        <v>193</v>
      </c>
      <c r="G81" s="48" t="s">
        <v>192</v>
      </c>
      <c r="H81" s="48">
        <v>2016</v>
      </c>
      <c r="I81" s="48">
        <v>2016</v>
      </c>
      <c r="J81" s="52" t="s">
        <v>191</v>
      </c>
      <c r="K81" s="52" t="s">
        <v>190</v>
      </c>
      <c r="L81" s="52">
        <v>5132274</v>
      </c>
      <c r="M81" s="38">
        <v>26738.0406</v>
      </c>
      <c r="N81" s="43">
        <v>22579.15</v>
      </c>
      <c r="O81" s="43">
        <f>Tabela1[[#This Row],[FRANQUIA AON-HDI]]-Tabela1[[#This Row],[FRANQUIA INTERBROK - SURA]]</f>
        <v>4158.8905999999988</v>
      </c>
      <c r="P81" s="35" t="s">
        <v>13</v>
      </c>
    </row>
    <row r="82" spans="1:16" x14ac:dyDescent="0.3">
      <c r="A82" s="39">
        <v>69</v>
      </c>
      <c r="B82" s="39" t="s">
        <v>65</v>
      </c>
      <c r="C82" s="41" t="s">
        <v>64</v>
      </c>
      <c r="D82" s="41" t="s">
        <v>63</v>
      </c>
      <c r="E82" s="40" t="s">
        <v>165</v>
      </c>
      <c r="F82" s="47" t="s">
        <v>158</v>
      </c>
      <c r="G82" s="47" t="s">
        <v>157</v>
      </c>
      <c r="H82" s="46">
        <v>2019</v>
      </c>
      <c r="I82" s="46">
        <v>2020</v>
      </c>
      <c r="J82" s="46" t="s">
        <v>189</v>
      </c>
      <c r="K82" s="46" t="s">
        <v>188</v>
      </c>
      <c r="L82" s="46">
        <v>5161525</v>
      </c>
      <c r="M82" s="45">
        <v>34753.881300000001</v>
      </c>
      <c r="N82" s="37">
        <v>30099.75</v>
      </c>
      <c r="O82" s="37">
        <f>Tabela1[[#This Row],[FRANQUIA AON-HDI]]-Tabela1[[#This Row],[FRANQUIA INTERBROK - SURA]]</f>
        <v>4654.1313000000009</v>
      </c>
      <c r="P82" s="35" t="s">
        <v>13</v>
      </c>
    </row>
    <row r="83" spans="1:16" x14ac:dyDescent="0.3">
      <c r="A83" s="39">
        <v>67</v>
      </c>
      <c r="B83" s="39" t="s">
        <v>65</v>
      </c>
      <c r="C83" s="41" t="s">
        <v>64</v>
      </c>
      <c r="D83" s="41" t="s">
        <v>63</v>
      </c>
      <c r="E83" s="40" t="s">
        <v>165</v>
      </c>
      <c r="F83" s="47" t="s">
        <v>158</v>
      </c>
      <c r="G83" s="47" t="s">
        <v>157</v>
      </c>
      <c r="H83" s="46">
        <v>2019</v>
      </c>
      <c r="I83" s="46">
        <v>2020</v>
      </c>
      <c r="J83" s="46" t="s">
        <v>187</v>
      </c>
      <c r="K83" s="46" t="s">
        <v>186</v>
      </c>
      <c r="L83" s="46">
        <v>5161525</v>
      </c>
      <c r="M83" s="45">
        <v>34753.881300000001</v>
      </c>
      <c r="N83" s="37">
        <v>30099.75</v>
      </c>
      <c r="O83" s="37">
        <f>Tabela1[[#This Row],[FRANQUIA AON-HDI]]-Tabela1[[#This Row],[FRANQUIA INTERBROK - SURA]]</f>
        <v>4654.1313000000009</v>
      </c>
      <c r="P83" s="35" t="s">
        <v>13</v>
      </c>
    </row>
    <row r="84" spans="1:16" x14ac:dyDescent="0.3">
      <c r="A84" s="39">
        <v>70</v>
      </c>
      <c r="B84" s="39" t="s">
        <v>65</v>
      </c>
      <c r="C84" s="41" t="s">
        <v>64</v>
      </c>
      <c r="D84" s="41" t="s">
        <v>63</v>
      </c>
      <c r="E84" s="40" t="s">
        <v>165</v>
      </c>
      <c r="F84" s="47" t="s">
        <v>158</v>
      </c>
      <c r="G84" s="47" t="s">
        <v>157</v>
      </c>
      <c r="H84" s="46">
        <v>2019</v>
      </c>
      <c r="I84" s="46">
        <v>2020</v>
      </c>
      <c r="J84" s="46" t="s">
        <v>185</v>
      </c>
      <c r="K84" s="46" t="s">
        <v>184</v>
      </c>
      <c r="L84" s="46">
        <v>5161525</v>
      </c>
      <c r="M84" s="45">
        <v>34753.881300000001</v>
      </c>
      <c r="N84" s="37">
        <v>30099.75</v>
      </c>
      <c r="O84" s="37">
        <f>Tabela1[[#This Row],[FRANQUIA AON-HDI]]-Tabela1[[#This Row],[FRANQUIA INTERBROK - SURA]]</f>
        <v>4654.1313000000009</v>
      </c>
      <c r="P84" s="35" t="s">
        <v>13</v>
      </c>
    </row>
    <row r="85" spans="1:16" x14ac:dyDescent="0.3">
      <c r="A85" s="39">
        <v>68</v>
      </c>
      <c r="B85" s="39" t="s">
        <v>65</v>
      </c>
      <c r="C85" s="41" t="s">
        <v>64</v>
      </c>
      <c r="D85" s="41" t="s">
        <v>63</v>
      </c>
      <c r="E85" s="40" t="s">
        <v>165</v>
      </c>
      <c r="F85" s="47" t="s">
        <v>158</v>
      </c>
      <c r="G85" s="47" t="s">
        <v>157</v>
      </c>
      <c r="H85" s="46">
        <v>2019</v>
      </c>
      <c r="I85" s="46">
        <v>2020</v>
      </c>
      <c r="J85" s="46" t="s">
        <v>183</v>
      </c>
      <c r="K85" s="46" t="s">
        <v>182</v>
      </c>
      <c r="L85" s="46">
        <v>5161525</v>
      </c>
      <c r="M85" s="45">
        <v>34753.881300000001</v>
      </c>
      <c r="N85" s="37">
        <v>30099.75</v>
      </c>
      <c r="O85" s="37">
        <f>Tabela1[[#This Row],[FRANQUIA AON-HDI]]-Tabela1[[#This Row],[FRANQUIA INTERBROK - SURA]]</f>
        <v>4654.1313000000009</v>
      </c>
      <c r="P85" s="35" t="s">
        <v>13</v>
      </c>
    </row>
    <row r="86" spans="1:16" x14ac:dyDescent="0.3">
      <c r="A86" s="39">
        <v>75</v>
      </c>
      <c r="B86" s="39" t="s">
        <v>65</v>
      </c>
      <c r="C86" s="41" t="s">
        <v>64</v>
      </c>
      <c r="D86" s="41" t="s">
        <v>63</v>
      </c>
      <c r="E86" s="40" t="s">
        <v>144</v>
      </c>
      <c r="F86" s="47" t="s">
        <v>158</v>
      </c>
      <c r="G86" s="47" t="s">
        <v>157</v>
      </c>
      <c r="H86" s="46">
        <v>2019</v>
      </c>
      <c r="I86" s="46">
        <v>2020</v>
      </c>
      <c r="J86" s="46" t="s">
        <v>181</v>
      </c>
      <c r="K86" s="46" t="s">
        <v>180</v>
      </c>
      <c r="L86" s="46">
        <v>5161525</v>
      </c>
      <c r="M86" s="45">
        <v>34753.881300000001</v>
      </c>
      <c r="N86" s="37">
        <v>30099.75</v>
      </c>
      <c r="O86" s="37">
        <f>Tabela1[[#This Row],[FRANQUIA AON-HDI]]-Tabela1[[#This Row],[FRANQUIA INTERBROK - SURA]]</f>
        <v>4654.1313000000009</v>
      </c>
      <c r="P86" s="35" t="s">
        <v>13</v>
      </c>
    </row>
    <row r="87" spans="1:16" x14ac:dyDescent="0.3">
      <c r="A87" s="39">
        <v>71</v>
      </c>
      <c r="B87" s="39" t="s">
        <v>65</v>
      </c>
      <c r="C87" s="41" t="s">
        <v>64</v>
      </c>
      <c r="D87" s="41" t="s">
        <v>63</v>
      </c>
      <c r="E87" s="40" t="s">
        <v>165</v>
      </c>
      <c r="F87" s="47" t="s">
        <v>158</v>
      </c>
      <c r="G87" s="47" t="s">
        <v>157</v>
      </c>
      <c r="H87" s="46">
        <v>2019</v>
      </c>
      <c r="I87" s="46">
        <v>2020</v>
      </c>
      <c r="J87" s="46" t="s">
        <v>179</v>
      </c>
      <c r="K87" s="46" t="s">
        <v>178</v>
      </c>
      <c r="L87" s="46">
        <v>5161525</v>
      </c>
      <c r="M87" s="45">
        <v>34753.881300000001</v>
      </c>
      <c r="N87" s="37">
        <v>30099.75</v>
      </c>
      <c r="O87" s="37">
        <f>Tabela1[[#This Row],[FRANQUIA AON-HDI]]-Tabela1[[#This Row],[FRANQUIA INTERBROK - SURA]]</f>
        <v>4654.1313000000009</v>
      </c>
      <c r="P87" s="35" t="s">
        <v>13</v>
      </c>
    </row>
    <row r="88" spans="1:16" x14ac:dyDescent="0.3">
      <c r="A88" s="39">
        <v>78</v>
      </c>
      <c r="B88" s="39" t="s">
        <v>65</v>
      </c>
      <c r="C88" s="41" t="s">
        <v>64</v>
      </c>
      <c r="D88" s="41" t="s">
        <v>63</v>
      </c>
      <c r="E88" s="40" t="s">
        <v>144</v>
      </c>
      <c r="F88" s="47" t="s">
        <v>158</v>
      </c>
      <c r="G88" s="47" t="s">
        <v>157</v>
      </c>
      <c r="H88" s="46">
        <v>2019</v>
      </c>
      <c r="I88" s="46">
        <v>2020</v>
      </c>
      <c r="J88" s="46" t="s">
        <v>177</v>
      </c>
      <c r="K88" s="46" t="s">
        <v>176</v>
      </c>
      <c r="L88" s="46">
        <v>5161525</v>
      </c>
      <c r="M88" s="45">
        <v>34753.881300000001</v>
      </c>
      <c r="N88" s="37">
        <v>30099.75</v>
      </c>
      <c r="O88" s="37">
        <f>Tabela1[[#This Row],[FRANQUIA AON-HDI]]-Tabela1[[#This Row],[FRANQUIA INTERBROK - SURA]]</f>
        <v>4654.1313000000009</v>
      </c>
      <c r="P88" s="35" t="s">
        <v>13</v>
      </c>
    </row>
    <row r="89" spans="1:16" x14ac:dyDescent="0.3">
      <c r="A89" s="39">
        <v>79</v>
      </c>
      <c r="B89" s="39" t="s">
        <v>65</v>
      </c>
      <c r="C89" s="41" t="s">
        <v>64</v>
      </c>
      <c r="D89" s="41" t="s">
        <v>63</v>
      </c>
      <c r="E89" s="40" t="s">
        <v>144</v>
      </c>
      <c r="F89" s="47" t="s">
        <v>158</v>
      </c>
      <c r="G89" s="47" t="s">
        <v>157</v>
      </c>
      <c r="H89" s="46">
        <v>2019</v>
      </c>
      <c r="I89" s="46">
        <v>2020</v>
      </c>
      <c r="J89" s="46" t="s">
        <v>175</v>
      </c>
      <c r="K89" s="46" t="s">
        <v>174</v>
      </c>
      <c r="L89" s="46">
        <v>5161525</v>
      </c>
      <c r="M89" s="45">
        <v>34753.881300000001</v>
      </c>
      <c r="N89" s="37">
        <v>30099.75</v>
      </c>
      <c r="O89" s="37">
        <f>Tabela1[[#This Row],[FRANQUIA AON-HDI]]-Tabela1[[#This Row],[FRANQUIA INTERBROK - SURA]]</f>
        <v>4654.1313000000009</v>
      </c>
      <c r="P89" s="35" t="s">
        <v>13</v>
      </c>
    </row>
    <row r="90" spans="1:16" x14ac:dyDescent="0.3">
      <c r="A90" s="39">
        <v>77</v>
      </c>
      <c r="B90" s="39" t="s">
        <v>65</v>
      </c>
      <c r="C90" s="41" t="s">
        <v>64</v>
      </c>
      <c r="D90" s="41" t="s">
        <v>63</v>
      </c>
      <c r="E90" s="40" t="s">
        <v>144</v>
      </c>
      <c r="F90" s="47" t="s">
        <v>158</v>
      </c>
      <c r="G90" s="47" t="s">
        <v>157</v>
      </c>
      <c r="H90" s="46">
        <v>2019</v>
      </c>
      <c r="I90" s="46">
        <v>2020</v>
      </c>
      <c r="J90" s="46" t="s">
        <v>173</v>
      </c>
      <c r="K90" s="46" t="s">
        <v>172</v>
      </c>
      <c r="L90" s="46">
        <v>5161525</v>
      </c>
      <c r="M90" s="45">
        <v>34753.881300000001</v>
      </c>
      <c r="N90" s="37">
        <v>30099.75</v>
      </c>
      <c r="O90" s="37">
        <f>Tabela1[[#This Row],[FRANQUIA AON-HDI]]-Tabela1[[#This Row],[FRANQUIA INTERBROK - SURA]]</f>
        <v>4654.1313000000009</v>
      </c>
      <c r="P90" s="35" t="s">
        <v>13</v>
      </c>
    </row>
    <row r="91" spans="1:16" x14ac:dyDescent="0.3">
      <c r="A91" s="39">
        <v>73</v>
      </c>
      <c r="B91" s="39" t="s">
        <v>65</v>
      </c>
      <c r="C91" s="41" t="s">
        <v>64</v>
      </c>
      <c r="D91" s="41" t="s">
        <v>63</v>
      </c>
      <c r="E91" s="40" t="s">
        <v>165</v>
      </c>
      <c r="F91" s="47" t="s">
        <v>158</v>
      </c>
      <c r="G91" s="47" t="s">
        <v>157</v>
      </c>
      <c r="H91" s="46">
        <v>2019</v>
      </c>
      <c r="I91" s="46">
        <v>2020</v>
      </c>
      <c r="J91" s="46" t="s">
        <v>171</v>
      </c>
      <c r="K91" s="46" t="s">
        <v>170</v>
      </c>
      <c r="L91" s="46">
        <v>5161525</v>
      </c>
      <c r="M91" s="45">
        <v>34753.881300000001</v>
      </c>
      <c r="N91" s="37">
        <v>30099.75</v>
      </c>
      <c r="O91" s="37">
        <f>Tabela1[[#This Row],[FRANQUIA AON-HDI]]-Tabela1[[#This Row],[FRANQUIA INTERBROK - SURA]]</f>
        <v>4654.1313000000009</v>
      </c>
      <c r="P91" s="35" t="s">
        <v>13</v>
      </c>
    </row>
    <row r="92" spans="1:16" x14ac:dyDescent="0.3">
      <c r="A92" s="39">
        <v>76</v>
      </c>
      <c r="B92" s="39" t="s">
        <v>65</v>
      </c>
      <c r="C92" s="41" t="s">
        <v>64</v>
      </c>
      <c r="D92" s="41" t="s">
        <v>63</v>
      </c>
      <c r="E92" s="40" t="s">
        <v>144</v>
      </c>
      <c r="F92" s="47" t="s">
        <v>158</v>
      </c>
      <c r="G92" s="47" t="s">
        <v>157</v>
      </c>
      <c r="H92" s="46">
        <v>2019</v>
      </c>
      <c r="I92" s="46">
        <v>2020</v>
      </c>
      <c r="J92" s="46" t="s">
        <v>169</v>
      </c>
      <c r="K92" s="46" t="s">
        <v>168</v>
      </c>
      <c r="L92" s="46">
        <v>5161525</v>
      </c>
      <c r="M92" s="45">
        <v>34753.881300000001</v>
      </c>
      <c r="N92" s="37">
        <v>30099.75</v>
      </c>
      <c r="O92" s="37">
        <f>Tabela1[[#This Row],[FRANQUIA AON-HDI]]-Tabela1[[#This Row],[FRANQUIA INTERBROK - SURA]]</f>
        <v>4654.1313000000009</v>
      </c>
      <c r="P92" s="35" t="s">
        <v>13</v>
      </c>
    </row>
    <row r="93" spans="1:16" x14ac:dyDescent="0.3">
      <c r="A93" s="39">
        <v>74</v>
      </c>
      <c r="B93" s="39" t="s">
        <v>65</v>
      </c>
      <c r="C93" s="41" t="s">
        <v>64</v>
      </c>
      <c r="D93" s="41" t="s">
        <v>63</v>
      </c>
      <c r="E93" s="40" t="s">
        <v>165</v>
      </c>
      <c r="F93" s="47" t="s">
        <v>158</v>
      </c>
      <c r="G93" s="47" t="s">
        <v>157</v>
      </c>
      <c r="H93" s="46">
        <v>2019</v>
      </c>
      <c r="I93" s="46">
        <v>2020</v>
      </c>
      <c r="J93" s="46" t="s">
        <v>167</v>
      </c>
      <c r="K93" s="46" t="s">
        <v>166</v>
      </c>
      <c r="L93" s="46">
        <v>5161525</v>
      </c>
      <c r="M93" s="45">
        <v>34753.881300000001</v>
      </c>
      <c r="N93" s="37">
        <v>30099.75</v>
      </c>
      <c r="O93" s="37">
        <f>Tabela1[[#This Row],[FRANQUIA AON-HDI]]-Tabela1[[#This Row],[FRANQUIA INTERBROK - SURA]]</f>
        <v>4654.1313000000009</v>
      </c>
      <c r="P93" s="35" t="s">
        <v>13</v>
      </c>
    </row>
    <row r="94" spans="1:16" x14ac:dyDescent="0.3">
      <c r="A94" s="39">
        <v>72</v>
      </c>
      <c r="B94" s="39" t="s">
        <v>65</v>
      </c>
      <c r="C94" s="41" t="s">
        <v>64</v>
      </c>
      <c r="D94" s="41" t="s">
        <v>63</v>
      </c>
      <c r="E94" s="40" t="s">
        <v>165</v>
      </c>
      <c r="F94" s="47" t="s">
        <v>158</v>
      </c>
      <c r="G94" s="47" t="s">
        <v>157</v>
      </c>
      <c r="H94" s="46">
        <v>2019</v>
      </c>
      <c r="I94" s="46">
        <v>2020</v>
      </c>
      <c r="J94" s="46" t="s">
        <v>164</v>
      </c>
      <c r="K94" s="46" t="s">
        <v>163</v>
      </c>
      <c r="L94" s="46">
        <v>5161525</v>
      </c>
      <c r="M94" s="45">
        <v>34753.881300000001</v>
      </c>
      <c r="N94" s="37">
        <v>30099.75</v>
      </c>
      <c r="O94" s="37">
        <f>Tabela1[[#This Row],[FRANQUIA AON-HDI]]-Tabela1[[#This Row],[FRANQUIA INTERBROK - SURA]]</f>
        <v>4654.1313000000009</v>
      </c>
      <c r="P94" s="35" t="s">
        <v>13</v>
      </c>
    </row>
    <row r="95" spans="1:16" x14ac:dyDescent="0.3">
      <c r="A95" s="39">
        <v>80</v>
      </c>
      <c r="B95" s="39" t="s">
        <v>65</v>
      </c>
      <c r="C95" s="41" t="s">
        <v>64</v>
      </c>
      <c r="D95" s="41" t="s">
        <v>63</v>
      </c>
      <c r="E95" s="40" t="s">
        <v>144</v>
      </c>
      <c r="F95" s="47" t="s">
        <v>158</v>
      </c>
      <c r="G95" s="47" t="s">
        <v>157</v>
      </c>
      <c r="H95" s="46">
        <v>2019</v>
      </c>
      <c r="I95" s="46">
        <v>2020</v>
      </c>
      <c r="J95" s="46" t="s">
        <v>162</v>
      </c>
      <c r="K95" s="46" t="s">
        <v>161</v>
      </c>
      <c r="L95" s="46">
        <v>5161525</v>
      </c>
      <c r="M95" s="45">
        <v>34753.881300000001</v>
      </c>
      <c r="N95" s="37">
        <v>30099.75</v>
      </c>
      <c r="O95" s="37">
        <f>Tabela1[[#This Row],[FRANQUIA AON-HDI]]-Tabela1[[#This Row],[FRANQUIA INTERBROK - SURA]]</f>
        <v>4654.1313000000009</v>
      </c>
      <c r="P95" s="35" t="s">
        <v>13</v>
      </c>
    </row>
    <row r="96" spans="1:16" x14ac:dyDescent="0.3">
      <c r="A96" s="39">
        <v>82</v>
      </c>
      <c r="B96" s="39" t="s">
        <v>65</v>
      </c>
      <c r="C96" s="41" t="s">
        <v>64</v>
      </c>
      <c r="D96" s="41" t="s">
        <v>63</v>
      </c>
      <c r="E96" s="40" t="s">
        <v>144</v>
      </c>
      <c r="F96" s="47" t="s">
        <v>158</v>
      </c>
      <c r="G96" s="47" t="s">
        <v>157</v>
      </c>
      <c r="H96" s="46">
        <v>2019</v>
      </c>
      <c r="I96" s="46">
        <v>2020</v>
      </c>
      <c r="J96" s="46" t="s">
        <v>160</v>
      </c>
      <c r="K96" s="46" t="s">
        <v>159</v>
      </c>
      <c r="L96" s="46">
        <v>5161525</v>
      </c>
      <c r="M96" s="45">
        <v>34753.881300000001</v>
      </c>
      <c r="N96" s="37">
        <v>30099.75</v>
      </c>
      <c r="O96" s="37">
        <f>Tabela1[[#This Row],[FRANQUIA AON-HDI]]-Tabela1[[#This Row],[FRANQUIA INTERBROK - SURA]]</f>
        <v>4654.1313000000009</v>
      </c>
      <c r="P96" s="35" t="s">
        <v>13</v>
      </c>
    </row>
    <row r="97" spans="1:16" x14ac:dyDescent="0.3">
      <c r="A97" s="39">
        <v>81</v>
      </c>
      <c r="B97" s="39" t="s">
        <v>65</v>
      </c>
      <c r="C97" s="41" t="s">
        <v>64</v>
      </c>
      <c r="D97" s="41" t="s">
        <v>63</v>
      </c>
      <c r="E97" s="40" t="s">
        <v>144</v>
      </c>
      <c r="F97" s="47" t="s">
        <v>158</v>
      </c>
      <c r="G97" s="47" t="s">
        <v>157</v>
      </c>
      <c r="H97" s="46">
        <v>2019</v>
      </c>
      <c r="I97" s="46">
        <v>2020</v>
      </c>
      <c r="J97" s="46" t="s">
        <v>156</v>
      </c>
      <c r="K97" s="46" t="s">
        <v>155</v>
      </c>
      <c r="L97" s="46">
        <v>5161525</v>
      </c>
      <c r="M97" s="45">
        <v>34753.881300000001</v>
      </c>
      <c r="N97" s="37">
        <v>30099.75</v>
      </c>
      <c r="O97" s="37">
        <f>Tabela1[[#This Row],[FRANQUIA AON-HDI]]-Tabela1[[#This Row],[FRANQUIA INTERBROK - SURA]]</f>
        <v>4654.1313000000009</v>
      </c>
      <c r="P97" s="35" t="s">
        <v>13</v>
      </c>
    </row>
    <row r="98" spans="1:16" x14ac:dyDescent="0.3">
      <c r="A98" s="39">
        <v>20</v>
      </c>
      <c r="B98" s="39" t="s">
        <v>65</v>
      </c>
      <c r="C98" s="41" t="s">
        <v>64</v>
      </c>
      <c r="D98" s="41" t="s">
        <v>63</v>
      </c>
      <c r="E98" s="40" t="s">
        <v>79</v>
      </c>
      <c r="F98" s="39" t="s">
        <v>154</v>
      </c>
      <c r="G98" s="39" t="s">
        <v>153</v>
      </c>
      <c r="H98" s="39">
        <v>2018</v>
      </c>
      <c r="I98" s="39">
        <v>2018</v>
      </c>
      <c r="J98" s="39" t="s">
        <v>152</v>
      </c>
      <c r="K98" s="39" t="s">
        <v>151</v>
      </c>
      <c r="L98" s="39">
        <v>5132703</v>
      </c>
      <c r="M98" s="38">
        <v>33138.8655</v>
      </c>
      <c r="N98" s="43">
        <v>27032.44</v>
      </c>
      <c r="O98" s="43">
        <f>Tabela1[[#This Row],[FRANQUIA AON-HDI]]-Tabela1[[#This Row],[FRANQUIA INTERBROK - SURA]]</f>
        <v>6106.4255000000012</v>
      </c>
      <c r="P98" s="35" t="s">
        <v>13</v>
      </c>
    </row>
    <row r="99" spans="1:16" x14ac:dyDescent="0.3">
      <c r="A99" s="39">
        <v>23</v>
      </c>
      <c r="B99" s="39" t="s">
        <v>65</v>
      </c>
      <c r="C99" s="41" t="s">
        <v>64</v>
      </c>
      <c r="D99" s="41" t="s">
        <v>63</v>
      </c>
      <c r="E99" s="40" t="s">
        <v>144</v>
      </c>
      <c r="F99" s="39" t="s">
        <v>143</v>
      </c>
      <c r="G99" s="39" t="s">
        <v>77</v>
      </c>
      <c r="H99" s="39">
        <v>2019</v>
      </c>
      <c r="I99" s="39">
        <v>2019</v>
      </c>
      <c r="J99" s="39" t="s">
        <v>150</v>
      </c>
      <c r="K99" s="39" t="s">
        <v>149</v>
      </c>
      <c r="L99" s="39">
        <v>5132894</v>
      </c>
      <c r="M99" s="38">
        <v>37591.429799999998</v>
      </c>
      <c r="N99" s="43">
        <v>31482.06</v>
      </c>
      <c r="O99" s="43">
        <f>Tabela1[[#This Row],[FRANQUIA AON-HDI]]-Tabela1[[#This Row],[FRANQUIA INTERBROK - SURA]]</f>
        <v>6109.3697999999968</v>
      </c>
      <c r="P99" s="35" t="s">
        <v>13</v>
      </c>
    </row>
    <row r="100" spans="1:16" x14ac:dyDescent="0.3">
      <c r="A100" s="39">
        <v>22</v>
      </c>
      <c r="B100" s="39" t="s">
        <v>65</v>
      </c>
      <c r="C100" s="41" t="s">
        <v>64</v>
      </c>
      <c r="D100" s="41" t="s">
        <v>63</v>
      </c>
      <c r="E100" s="40" t="s">
        <v>144</v>
      </c>
      <c r="F100" s="39" t="s">
        <v>143</v>
      </c>
      <c r="G100" s="39" t="s">
        <v>77</v>
      </c>
      <c r="H100" s="39">
        <v>2019</v>
      </c>
      <c r="I100" s="39">
        <v>2019</v>
      </c>
      <c r="J100" s="39" t="s">
        <v>148</v>
      </c>
      <c r="K100" s="39" t="s">
        <v>147</v>
      </c>
      <c r="L100" s="39">
        <v>5132894</v>
      </c>
      <c r="M100" s="38">
        <v>37591.429799999998</v>
      </c>
      <c r="N100" s="43">
        <v>31482.06</v>
      </c>
      <c r="O100" s="43">
        <f>Tabela1[[#This Row],[FRANQUIA AON-HDI]]-Tabela1[[#This Row],[FRANQUIA INTERBROK - SURA]]</f>
        <v>6109.3697999999968</v>
      </c>
      <c r="P100" s="35" t="s">
        <v>13</v>
      </c>
    </row>
    <row r="101" spans="1:16" x14ac:dyDescent="0.3">
      <c r="A101" s="39">
        <v>21</v>
      </c>
      <c r="B101" s="39" t="s">
        <v>65</v>
      </c>
      <c r="C101" s="41" t="s">
        <v>64</v>
      </c>
      <c r="D101" s="41" t="s">
        <v>63</v>
      </c>
      <c r="E101" s="40" t="s">
        <v>144</v>
      </c>
      <c r="F101" s="39" t="s">
        <v>143</v>
      </c>
      <c r="G101" s="39" t="s">
        <v>77</v>
      </c>
      <c r="H101" s="39">
        <v>2019</v>
      </c>
      <c r="I101" s="39">
        <v>2019</v>
      </c>
      <c r="J101" s="39" t="s">
        <v>146</v>
      </c>
      <c r="K101" s="39" t="s">
        <v>145</v>
      </c>
      <c r="L101" s="39">
        <v>5132894</v>
      </c>
      <c r="M101" s="38">
        <v>37591.429799999998</v>
      </c>
      <c r="N101" s="43">
        <v>31482.06</v>
      </c>
      <c r="O101" s="43">
        <f>Tabela1[[#This Row],[FRANQUIA AON-HDI]]-Tabela1[[#This Row],[FRANQUIA INTERBROK - SURA]]</f>
        <v>6109.3697999999968</v>
      </c>
      <c r="P101" s="35" t="s">
        <v>13</v>
      </c>
    </row>
    <row r="102" spans="1:16" x14ac:dyDescent="0.3">
      <c r="A102" s="39">
        <v>24</v>
      </c>
      <c r="B102" s="39" t="s">
        <v>65</v>
      </c>
      <c r="C102" s="41" t="s">
        <v>64</v>
      </c>
      <c r="D102" s="41" t="s">
        <v>63</v>
      </c>
      <c r="E102" s="40" t="s">
        <v>144</v>
      </c>
      <c r="F102" s="39" t="s">
        <v>143</v>
      </c>
      <c r="G102" s="39" t="s">
        <v>77</v>
      </c>
      <c r="H102" s="39">
        <v>2019</v>
      </c>
      <c r="I102" s="39">
        <v>2019</v>
      </c>
      <c r="J102" s="39" t="s">
        <v>142</v>
      </c>
      <c r="K102" s="39" t="s">
        <v>141</v>
      </c>
      <c r="L102" s="39">
        <v>5132894</v>
      </c>
      <c r="M102" s="38">
        <v>37591.429799999998</v>
      </c>
      <c r="N102" s="43">
        <v>31482.06</v>
      </c>
      <c r="O102" s="43">
        <f>Tabela1[[#This Row],[FRANQUIA AON-HDI]]-Tabela1[[#This Row],[FRANQUIA INTERBROK - SURA]]</f>
        <v>6109.3697999999968</v>
      </c>
      <c r="P102" s="35" t="s">
        <v>13</v>
      </c>
    </row>
    <row r="103" spans="1:16" x14ac:dyDescent="0.3">
      <c r="A103" s="39">
        <v>35</v>
      </c>
      <c r="B103" s="39" t="s">
        <v>65</v>
      </c>
      <c r="C103" s="41" t="s">
        <v>64</v>
      </c>
      <c r="D103" s="41" t="s">
        <v>63</v>
      </c>
      <c r="E103" s="40" t="s">
        <v>118</v>
      </c>
      <c r="F103" s="39" t="s">
        <v>117</v>
      </c>
      <c r="G103" s="39" t="s">
        <v>116</v>
      </c>
      <c r="H103" s="39">
        <v>2023</v>
      </c>
      <c r="I103" s="39">
        <v>2024</v>
      </c>
      <c r="J103" s="39" t="s">
        <v>140</v>
      </c>
      <c r="K103" s="39" t="s">
        <v>139</v>
      </c>
      <c r="L103" s="39">
        <v>5152011</v>
      </c>
      <c r="M103" s="38">
        <v>44054.520599999996</v>
      </c>
      <c r="N103" s="37">
        <v>37922.22</v>
      </c>
      <c r="O103" s="37">
        <f>Tabela1[[#This Row],[FRANQUIA AON-HDI]]-Tabela1[[#This Row],[FRANQUIA INTERBROK - SURA]]</f>
        <v>6132.300599999995</v>
      </c>
      <c r="P103" s="35" t="s">
        <v>13</v>
      </c>
    </row>
    <row r="104" spans="1:16" x14ac:dyDescent="0.3">
      <c r="A104" s="39">
        <v>36</v>
      </c>
      <c r="B104" s="39" t="s">
        <v>65</v>
      </c>
      <c r="C104" s="41" t="s">
        <v>64</v>
      </c>
      <c r="D104" s="41" t="s">
        <v>63</v>
      </c>
      <c r="E104" s="40" t="s">
        <v>118</v>
      </c>
      <c r="F104" s="39" t="s">
        <v>117</v>
      </c>
      <c r="G104" s="39" t="s">
        <v>116</v>
      </c>
      <c r="H104" s="39">
        <v>2023</v>
      </c>
      <c r="I104" s="39">
        <v>2024</v>
      </c>
      <c r="J104" s="39" t="s">
        <v>138</v>
      </c>
      <c r="K104" s="39" t="s">
        <v>137</v>
      </c>
      <c r="L104" s="39">
        <v>5152011</v>
      </c>
      <c r="M104" s="38">
        <v>44054.520599999996</v>
      </c>
      <c r="N104" s="37">
        <v>37922.22</v>
      </c>
      <c r="O104" s="37">
        <f>Tabela1[[#This Row],[FRANQUIA AON-HDI]]-Tabela1[[#This Row],[FRANQUIA INTERBROK - SURA]]</f>
        <v>6132.300599999995</v>
      </c>
      <c r="P104" s="35" t="s">
        <v>13</v>
      </c>
    </row>
    <row r="105" spans="1:16" x14ac:dyDescent="0.3">
      <c r="A105" s="39">
        <v>37</v>
      </c>
      <c r="B105" s="39" t="s">
        <v>65</v>
      </c>
      <c r="C105" s="41" t="s">
        <v>64</v>
      </c>
      <c r="D105" s="41" t="s">
        <v>63</v>
      </c>
      <c r="E105" s="40" t="s">
        <v>118</v>
      </c>
      <c r="F105" s="39" t="s">
        <v>117</v>
      </c>
      <c r="G105" s="39" t="s">
        <v>116</v>
      </c>
      <c r="H105" s="39">
        <v>2023</v>
      </c>
      <c r="I105" s="39">
        <v>2024</v>
      </c>
      <c r="J105" s="39" t="s">
        <v>136</v>
      </c>
      <c r="K105" s="39" t="s">
        <v>135</v>
      </c>
      <c r="L105" s="39">
        <v>5152011</v>
      </c>
      <c r="M105" s="38">
        <v>44054.520599999996</v>
      </c>
      <c r="N105" s="37">
        <v>37922.22</v>
      </c>
      <c r="O105" s="37">
        <f>Tabela1[[#This Row],[FRANQUIA AON-HDI]]-Tabela1[[#This Row],[FRANQUIA INTERBROK - SURA]]</f>
        <v>6132.300599999995</v>
      </c>
      <c r="P105" s="35" t="s">
        <v>13</v>
      </c>
    </row>
    <row r="106" spans="1:16" x14ac:dyDescent="0.3">
      <c r="A106" s="39">
        <v>39</v>
      </c>
      <c r="B106" s="39" t="s">
        <v>65</v>
      </c>
      <c r="C106" s="41" t="s">
        <v>64</v>
      </c>
      <c r="D106" s="41" t="s">
        <v>63</v>
      </c>
      <c r="E106" s="40" t="s">
        <v>118</v>
      </c>
      <c r="F106" s="39" t="s">
        <v>117</v>
      </c>
      <c r="G106" s="39" t="s">
        <v>116</v>
      </c>
      <c r="H106" s="39">
        <v>2023</v>
      </c>
      <c r="I106" s="39">
        <v>2024</v>
      </c>
      <c r="J106" s="39" t="s">
        <v>134</v>
      </c>
      <c r="K106" s="39" t="s">
        <v>133</v>
      </c>
      <c r="L106" s="39">
        <v>5152011</v>
      </c>
      <c r="M106" s="38">
        <v>44054.520599999996</v>
      </c>
      <c r="N106" s="37">
        <v>37922.22</v>
      </c>
      <c r="O106" s="37">
        <f>Tabela1[[#This Row],[FRANQUIA AON-HDI]]-Tabela1[[#This Row],[FRANQUIA INTERBROK - SURA]]</f>
        <v>6132.300599999995</v>
      </c>
      <c r="P106" s="35" t="s">
        <v>13</v>
      </c>
    </row>
    <row r="107" spans="1:16" x14ac:dyDescent="0.3">
      <c r="A107" s="39">
        <v>38</v>
      </c>
      <c r="B107" s="39" t="s">
        <v>65</v>
      </c>
      <c r="C107" s="41" t="s">
        <v>64</v>
      </c>
      <c r="D107" s="41" t="s">
        <v>63</v>
      </c>
      <c r="E107" s="40" t="s">
        <v>118</v>
      </c>
      <c r="F107" s="39" t="s">
        <v>117</v>
      </c>
      <c r="G107" s="39" t="s">
        <v>116</v>
      </c>
      <c r="H107" s="39">
        <v>2023</v>
      </c>
      <c r="I107" s="39">
        <v>2024</v>
      </c>
      <c r="J107" s="39" t="s">
        <v>132</v>
      </c>
      <c r="K107" s="39" t="s">
        <v>131</v>
      </c>
      <c r="L107" s="39">
        <v>5152011</v>
      </c>
      <c r="M107" s="38">
        <v>44054.520599999996</v>
      </c>
      <c r="N107" s="37">
        <v>37922.22</v>
      </c>
      <c r="O107" s="37">
        <f>Tabela1[[#This Row],[FRANQUIA AON-HDI]]-Tabela1[[#This Row],[FRANQUIA INTERBROK - SURA]]</f>
        <v>6132.300599999995</v>
      </c>
      <c r="P107" s="35" t="s">
        <v>13</v>
      </c>
    </row>
    <row r="108" spans="1:16" x14ac:dyDescent="0.3">
      <c r="A108" s="39">
        <v>41</v>
      </c>
      <c r="B108" s="39" t="s">
        <v>65</v>
      </c>
      <c r="C108" s="41" t="s">
        <v>64</v>
      </c>
      <c r="D108" s="41" t="s">
        <v>63</v>
      </c>
      <c r="E108" s="40" t="s">
        <v>118</v>
      </c>
      <c r="F108" s="39" t="s">
        <v>117</v>
      </c>
      <c r="G108" s="39" t="s">
        <v>116</v>
      </c>
      <c r="H108" s="39">
        <v>2023</v>
      </c>
      <c r="I108" s="39">
        <v>2024</v>
      </c>
      <c r="J108" s="39" t="s">
        <v>130</v>
      </c>
      <c r="K108" s="39" t="s">
        <v>129</v>
      </c>
      <c r="L108" s="39">
        <v>5152011</v>
      </c>
      <c r="M108" s="38">
        <v>44054.520599999996</v>
      </c>
      <c r="N108" s="37">
        <v>37922.22</v>
      </c>
      <c r="O108" s="37">
        <f>Tabela1[[#This Row],[FRANQUIA AON-HDI]]-Tabela1[[#This Row],[FRANQUIA INTERBROK - SURA]]</f>
        <v>6132.300599999995</v>
      </c>
      <c r="P108" s="35" t="s">
        <v>13</v>
      </c>
    </row>
    <row r="109" spans="1:16" x14ac:dyDescent="0.3">
      <c r="A109" s="39">
        <v>40</v>
      </c>
      <c r="B109" s="39" t="s">
        <v>65</v>
      </c>
      <c r="C109" s="41" t="s">
        <v>64</v>
      </c>
      <c r="D109" s="41" t="s">
        <v>63</v>
      </c>
      <c r="E109" s="40" t="s">
        <v>118</v>
      </c>
      <c r="F109" s="39" t="s">
        <v>117</v>
      </c>
      <c r="G109" s="39" t="s">
        <v>116</v>
      </c>
      <c r="H109" s="39">
        <v>2023</v>
      </c>
      <c r="I109" s="39">
        <v>2024</v>
      </c>
      <c r="J109" s="39" t="s">
        <v>128</v>
      </c>
      <c r="K109" s="39" t="s">
        <v>127</v>
      </c>
      <c r="L109" s="39">
        <v>5152011</v>
      </c>
      <c r="M109" s="38">
        <v>44054.520599999996</v>
      </c>
      <c r="N109" s="37">
        <v>37922.22</v>
      </c>
      <c r="O109" s="37">
        <f>Tabela1[[#This Row],[FRANQUIA AON-HDI]]-Tabela1[[#This Row],[FRANQUIA INTERBROK - SURA]]</f>
        <v>6132.300599999995</v>
      </c>
      <c r="P109" s="35" t="s">
        <v>13</v>
      </c>
    </row>
    <row r="110" spans="1:16" x14ac:dyDescent="0.3">
      <c r="A110" s="39">
        <v>42</v>
      </c>
      <c r="B110" s="39" t="s">
        <v>65</v>
      </c>
      <c r="C110" s="41" t="s">
        <v>64</v>
      </c>
      <c r="D110" s="41" t="s">
        <v>63</v>
      </c>
      <c r="E110" s="40" t="s">
        <v>118</v>
      </c>
      <c r="F110" s="39" t="s">
        <v>117</v>
      </c>
      <c r="G110" s="39" t="s">
        <v>116</v>
      </c>
      <c r="H110" s="39">
        <v>2023</v>
      </c>
      <c r="I110" s="39">
        <v>2024</v>
      </c>
      <c r="J110" s="39" t="s">
        <v>126</v>
      </c>
      <c r="K110" s="39" t="s">
        <v>125</v>
      </c>
      <c r="L110" s="39">
        <v>5152011</v>
      </c>
      <c r="M110" s="38">
        <v>44054.520599999996</v>
      </c>
      <c r="N110" s="37">
        <v>37922.22</v>
      </c>
      <c r="O110" s="37">
        <f>Tabela1[[#This Row],[FRANQUIA AON-HDI]]-Tabela1[[#This Row],[FRANQUIA INTERBROK - SURA]]</f>
        <v>6132.300599999995</v>
      </c>
      <c r="P110" s="35" t="s">
        <v>13</v>
      </c>
    </row>
    <row r="111" spans="1:16" x14ac:dyDescent="0.3">
      <c r="A111" s="39">
        <v>43</v>
      </c>
      <c r="B111" s="39" t="s">
        <v>65</v>
      </c>
      <c r="C111" s="41" t="s">
        <v>64</v>
      </c>
      <c r="D111" s="41" t="s">
        <v>63</v>
      </c>
      <c r="E111" s="40" t="s">
        <v>118</v>
      </c>
      <c r="F111" s="39" t="s">
        <v>117</v>
      </c>
      <c r="G111" s="39" t="s">
        <v>116</v>
      </c>
      <c r="H111" s="39">
        <v>2023</v>
      </c>
      <c r="I111" s="39">
        <v>2024</v>
      </c>
      <c r="J111" s="39" t="s">
        <v>124</v>
      </c>
      <c r="K111" s="39" t="s">
        <v>123</v>
      </c>
      <c r="L111" s="39">
        <v>5152011</v>
      </c>
      <c r="M111" s="38">
        <v>44054.520599999996</v>
      </c>
      <c r="N111" s="37">
        <v>37922.22</v>
      </c>
      <c r="O111" s="37">
        <f>Tabela1[[#This Row],[FRANQUIA AON-HDI]]-Tabela1[[#This Row],[FRANQUIA INTERBROK - SURA]]</f>
        <v>6132.300599999995</v>
      </c>
      <c r="P111" s="35" t="s">
        <v>13</v>
      </c>
    </row>
    <row r="112" spans="1:16" x14ac:dyDescent="0.3">
      <c r="A112" s="39">
        <v>44</v>
      </c>
      <c r="B112" s="39" t="s">
        <v>65</v>
      </c>
      <c r="C112" s="41" t="s">
        <v>64</v>
      </c>
      <c r="D112" s="41" t="s">
        <v>63</v>
      </c>
      <c r="E112" s="40" t="s">
        <v>118</v>
      </c>
      <c r="F112" s="39" t="s">
        <v>117</v>
      </c>
      <c r="G112" s="39" t="s">
        <v>116</v>
      </c>
      <c r="H112" s="39">
        <v>2023</v>
      </c>
      <c r="I112" s="39">
        <v>2024</v>
      </c>
      <c r="J112" s="39" t="s">
        <v>122</v>
      </c>
      <c r="K112" s="39" t="s">
        <v>121</v>
      </c>
      <c r="L112" s="39">
        <v>5152011</v>
      </c>
      <c r="M112" s="38">
        <v>44054.520599999996</v>
      </c>
      <c r="N112" s="37">
        <v>37922.22</v>
      </c>
      <c r="O112" s="37">
        <f>Tabela1[[#This Row],[FRANQUIA AON-HDI]]-Tabela1[[#This Row],[FRANQUIA INTERBROK - SURA]]</f>
        <v>6132.300599999995</v>
      </c>
      <c r="P112" s="35" t="s">
        <v>13</v>
      </c>
    </row>
    <row r="113" spans="1:16" x14ac:dyDescent="0.3">
      <c r="A113" s="39">
        <v>45</v>
      </c>
      <c r="B113" s="39" t="s">
        <v>65</v>
      </c>
      <c r="C113" s="41" t="s">
        <v>64</v>
      </c>
      <c r="D113" s="41" t="s">
        <v>63</v>
      </c>
      <c r="E113" s="46" t="s">
        <v>118</v>
      </c>
      <c r="F113" s="39" t="s">
        <v>117</v>
      </c>
      <c r="G113" s="39" t="s">
        <v>116</v>
      </c>
      <c r="H113" s="39">
        <v>2023</v>
      </c>
      <c r="I113" s="39">
        <v>2024</v>
      </c>
      <c r="J113" s="39" t="s">
        <v>120</v>
      </c>
      <c r="K113" s="39" t="s">
        <v>119</v>
      </c>
      <c r="L113" s="39">
        <v>5152011</v>
      </c>
      <c r="M113" s="38">
        <v>44054.520599999996</v>
      </c>
      <c r="N113" s="37">
        <v>37922.22</v>
      </c>
      <c r="O113" s="37">
        <f>Tabela1[[#This Row],[FRANQUIA AON-HDI]]-Tabela1[[#This Row],[FRANQUIA INTERBROK - SURA]]</f>
        <v>6132.300599999995</v>
      </c>
      <c r="P113" s="35" t="s">
        <v>13</v>
      </c>
    </row>
    <row r="114" spans="1:16" x14ac:dyDescent="0.3">
      <c r="A114" s="39">
        <v>46</v>
      </c>
      <c r="B114" s="39" t="s">
        <v>65</v>
      </c>
      <c r="C114" s="41" t="s">
        <v>64</v>
      </c>
      <c r="D114" s="41" t="s">
        <v>63</v>
      </c>
      <c r="E114" s="40" t="s">
        <v>118</v>
      </c>
      <c r="F114" s="39" t="s">
        <v>117</v>
      </c>
      <c r="G114" s="39" t="s">
        <v>116</v>
      </c>
      <c r="H114" s="39">
        <v>2023</v>
      </c>
      <c r="I114" s="39">
        <v>2024</v>
      </c>
      <c r="J114" s="39" t="s">
        <v>115</v>
      </c>
      <c r="K114" s="39" t="s">
        <v>114</v>
      </c>
      <c r="L114" s="39">
        <v>5152011</v>
      </c>
      <c r="M114" s="38">
        <v>44054.520599999996</v>
      </c>
      <c r="N114" s="37">
        <v>37922.22</v>
      </c>
      <c r="O114" s="37">
        <f>Tabela1[[#This Row],[FRANQUIA AON-HDI]]-Tabela1[[#This Row],[FRANQUIA INTERBROK - SURA]]</f>
        <v>6132.300599999995</v>
      </c>
      <c r="P114" s="35" t="s">
        <v>13</v>
      </c>
    </row>
    <row r="115" spans="1:16" x14ac:dyDescent="0.3">
      <c r="A115" s="39">
        <v>6</v>
      </c>
      <c r="B115" s="39" t="s">
        <v>65</v>
      </c>
      <c r="C115" s="41" t="s">
        <v>64</v>
      </c>
      <c r="D115" s="41" t="s">
        <v>63</v>
      </c>
      <c r="E115" s="40" t="s">
        <v>79</v>
      </c>
      <c r="F115" s="39" t="s">
        <v>101</v>
      </c>
      <c r="G115" s="39" t="s">
        <v>100</v>
      </c>
      <c r="H115" s="39">
        <v>2011</v>
      </c>
      <c r="I115" s="39">
        <v>2011</v>
      </c>
      <c r="J115" s="39" t="s">
        <v>113</v>
      </c>
      <c r="K115" s="39" t="s">
        <v>112</v>
      </c>
      <c r="L115" s="39">
        <v>5131634</v>
      </c>
      <c r="M115" s="38">
        <v>20419.282799999997</v>
      </c>
      <c r="N115" s="43">
        <v>13188.28</v>
      </c>
      <c r="O115" s="43">
        <f>Tabela1[[#This Row],[FRANQUIA AON-HDI]]-Tabela1[[#This Row],[FRANQUIA INTERBROK - SURA]]</f>
        <v>7231.0027999999966</v>
      </c>
      <c r="P115" s="35" t="s">
        <v>13</v>
      </c>
    </row>
    <row r="116" spans="1:16" x14ac:dyDescent="0.3">
      <c r="A116" s="39">
        <v>4</v>
      </c>
      <c r="B116" s="39" t="s">
        <v>65</v>
      </c>
      <c r="C116" s="41" t="s">
        <v>64</v>
      </c>
      <c r="D116" s="41" t="s">
        <v>63</v>
      </c>
      <c r="E116" s="40" t="s">
        <v>79</v>
      </c>
      <c r="F116" s="39" t="s">
        <v>101</v>
      </c>
      <c r="G116" s="39" t="s">
        <v>100</v>
      </c>
      <c r="H116" s="39">
        <v>2011</v>
      </c>
      <c r="I116" s="39">
        <v>2011</v>
      </c>
      <c r="J116" s="39" t="s">
        <v>111</v>
      </c>
      <c r="K116" s="39" t="s">
        <v>110</v>
      </c>
      <c r="L116" s="39">
        <v>5131634</v>
      </c>
      <c r="M116" s="38">
        <v>20419.282799999997</v>
      </c>
      <c r="N116" s="43">
        <v>13188.28</v>
      </c>
      <c r="O116" s="43">
        <f>Tabela1[[#This Row],[FRANQUIA AON-HDI]]-Tabela1[[#This Row],[FRANQUIA INTERBROK - SURA]]</f>
        <v>7231.0027999999966</v>
      </c>
      <c r="P116" s="35" t="s">
        <v>13</v>
      </c>
    </row>
    <row r="117" spans="1:16" x14ac:dyDescent="0.3">
      <c r="A117" s="39">
        <v>9</v>
      </c>
      <c r="B117" s="39" t="s">
        <v>65</v>
      </c>
      <c r="C117" s="41" t="s">
        <v>64</v>
      </c>
      <c r="D117" s="41" t="s">
        <v>63</v>
      </c>
      <c r="E117" s="40" t="s">
        <v>79</v>
      </c>
      <c r="F117" s="48" t="s">
        <v>101</v>
      </c>
      <c r="G117" s="48" t="s">
        <v>100</v>
      </c>
      <c r="H117" s="48">
        <v>2011</v>
      </c>
      <c r="I117" s="48">
        <v>2011</v>
      </c>
      <c r="J117" s="52" t="s">
        <v>109</v>
      </c>
      <c r="K117" s="52" t="s">
        <v>108</v>
      </c>
      <c r="L117" s="52">
        <v>5131634</v>
      </c>
      <c r="M117" s="38">
        <v>20419.282799999997</v>
      </c>
      <c r="N117" s="43">
        <v>13188.28</v>
      </c>
      <c r="O117" s="43">
        <f>Tabela1[[#This Row],[FRANQUIA AON-HDI]]-Tabela1[[#This Row],[FRANQUIA INTERBROK - SURA]]</f>
        <v>7231.0027999999966</v>
      </c>
      <c r="P117" s="35" t="s">
        <v>13</v>
      </c>
    </row>
    <row r="118" spans="1:16" x14ac:dyDescent="0.3">
      <c r="A118" s="39">
        <v>5</v>
      </c>
      <c r="B118" s="39" t="s">
        <v>65</v>
      </c>
      <c r="C118" s="41" t="s">
        <v>64</v>
      </c>
      <c r="D118" s="41" t="s">
        <v>63</v>
      </c>
      <c r="E118" s="40" t="s">
        <v>79</v>
      </c>
      <c r="F118" s="39" t="s">
        <v>101</v>
      </c>
      <c r="G118" s="39" t="s">
        <v>100</v>
      </c>
      <c r="H118" s="39">
        <v>2011</v>
      </c>
      <c r="I118" s="39">
        <v>2011</v>
      </c>
      <c r="J118" s="39" t="s">
        <v>107</v>
      </c>
      <c r="K118" s="39" t="s">
        <v>106</v>
      </c>
      <c r="L118" s="39">
        <v>5131634</v>
      </c>
      <c r="M118" s="38">
        <v>20419.282799999997</v>
      </c>
      <c r="N118" s="43">
        <v>13188.28</v>
      </c>
      <c r="O118" s="43">
        <f>Tabela1[[#This Row],[FRANQUIA AON-HDI]]-Tabela1[[#This Row],[FRANQUIA INTERBROK - SURA]]</f>
        <v>7231.0027999999966</v>
      </c>
      <c r="P118" s="35" t="s">
        <v>13</v>
      </c>
    </row>
    <row r="119" spans="1:16" x14ac:dyDescent="0.3">
      <c r="A119" s="39">
        <v>7</v>
      </c>
      <c r="B119" s="39" t="s">
        <v>65</v>
      </c>
      <c r="C119" s="41" t="s">
        <v>64</v>
      </c>
      <c r="D119" s="41" t="s">
        <v>63</v>
      </c>
      <c r="E119" s="40" t="s">
        <v>79</v>
      </c>
      <c r="F119" s="53" t="s">
        <v>101</v>
      </c>
      <c r="G119" s="53" t="s">
        <v>100</v>
      </c>
      <c r="H119" s="48">
        <v>2011</v>
      </c>
      <c r="I119" s="48">
        <v>2011</v>
      </c>
      <c r="J119" s="52" t="s">
        <v>105</v>
      </c>
      <c r="K119" s="52" t="s">
        <v>104</v>
      </c>
      <c r="L119" s="52">
        <v>5131634</v>
      </c>
      <c r="M119" s="38">
        <v>20419.282799999997</v>
      </c>
      <c r="N119" s="43">
        <v>13188.28</v>
      </c>
      <c r="O119" s="43">
        <f>Tabela1[[#This Row],[FRANQUIA AON-HDI]]-Tabela1[[#This Row],[FRANQUIA INTERBROK - SURA]]</f>
        <v>7231.0027999999966</v>
      </c>
      <c r="P119" s="35" t="s">
        <v>13</v>
      </c>
    </row>
    <row r="120" spans="1:16" x14ac:dyDescent="0.3">
      <c r="A120" s="39">
        <v>3</v>
      </c>
      <c r="B120" s="39" t="s">
        <v>65</v>
      </c>
      <c r="C120" s="41" t="s">
        <v>64</v>
      </c>
      <c r="D120" s="41" t="s">
        <v>63</v>
      </c>
      <c r="E120" s="40" t="s">
        <v>79</v>
      </c>
      <c r="F120" s="39" t="s">
        <v>101</v>
      </c>
      <c r="G120" s="39" t="s">
        <v>100</v>
      </c>
      <c r="H120" s="39">
        <v>2011</v>
      </c>
      <c r="I120" s="39">
        <v>2011</v>
      </c>
      <c r="J120" s="39" t="s">
        <v>103</v>
      </c>
      <c r="K120" s="39" t="s">
        <v>102</v>
      </c>
      <c r="L120" s="39">
        <v>5131634</v>
      </c>
      <c r="M120" s="38">
        <v>20419.282799999997</v>
      </c>
      <c r="N120" s="43">
        <v>13188.28</v>
      </c>
      <c r="O120" s="43">
        <f>Tabela1[[#This Row],[FRANQUIA AON-HDI]]-Tabela1[[#This Row],[FRANQUIA INTERBROK - SURA]]</f>
        <v>7231.0027999999966</v>
      </c>
      <c r="P120" s="35" t="s">
        <v>13</v>
      </c>
    </row>
    <row r="121" spans="1:16" x14ac:dyDescent="0.3">
      <c r="A121" s="39">
        <v>8</v>
      </c>
      <c r="B121" s="39" t="s">
        <v>65</v>
      </c>
      <c r="C121" s="41" t="s">
        <v>64</v>
      </c>
      <c r="D121" s="41" t="s">
        <v>63</v>
      </c>
      <c r="E121" s="40" t="s">
        <v>79</v>
      </c>
      <c r="F121" s="48" t="s">
        <v>101</v>
      </c>
      <c r="G121" s="48" t="s">
        <v>100</v>
      </c>
      <c r="H121" s="48">
        <v>2011</v>
      </c>
      <c r="I121" s="48">
        <v>2011</v>
      </c>
      <c r="J121" s="52" t="s">
        <v>99</v>
      </c>
      <c r="K121" s="52" t="s">
        <v>98</v>
      </c>
      <c r="L121" s="52">
        <v>5131634</v>
      </c>
      <c r="M121" s="38">
        <v>20419.282799999997</v>
      </c>
      <c r="N121" s="43">
        <v>13188.28</v>
      </c>
      <c r="O121" s="43">
        <f>Tabela1[[#This Row],[FRANQUIA AON-HDI]]-Tabela1[[#This Row],[FRANQUIA INTERBROK - SURA]]</f>
        <v>7231.0027999999966</v>
      </c>
      <c r="P121" s="35" t="s">
        <v>13</v>
      </c>
    </row>
    <row r="122" spans="1:16" x14ac:dyDescent="0.3">
      <c r="A122" s="39">
        <v>25</v>
      </c>
      <c r="B122" s="39" t="s">
        <v>65</v>
      </c>
      <c r="C122" s="41" t="s">
        <v>64</v>
      </c>
      <c r="D122" s="41" t="s">
        <v>63</v>
      </c>
      <c r="E122" s="40" t="s">
        <v>79</v>
      </c>
      <c r="F122" s="39" t="s">
        <v>78</v>
      </c>
      <c r="G122" s="39" t="s">
        <v>77</v>
      </c>
      <c r="H122" s="39">
        <v>2023</v>
      </c>
      <c r="I122" s="49">
        <v>2024</v>
      </c>
      <c r="J122" s="39" t="s">
        <v>97</v>
      </c>
      <c r="K122" s="39" t="s">
        <v>96</v>
      </c>
      <c r="L122" s="39">
        <v>5132894</v>
      </c>
      <c r="M122" s="51">
        <v>52281.388500000001</v>
      </c>
      <c r="N122" s="50">
        <v>44913.440000000002</v>
      </c>
      <c r="O122" s="50">
        <f>Tabela1[[#This Row],[FRANQUIA AON-HDI]]-Tabela1[[#This Row],[FRANQUIA INTERBROK - SURA]]</f>
        <v>7367.9484999999986</v>
      </c>
      <c r="P122" s="35" t="s">
        <v>13</v>
      </c>
    </row>
    <row r="123" spans="1:16" x14ac:dyDescent="0.3">
      <c r="A123" s="39">
        <v>26</v>
      </c>
      <c r="B123" s="39" t="s">
        <v>65</v>
      </c>
      <c r="C123" s="41" t="s">
        <v>64</v>
      </c>
      <c r="D123" s="41" t="s">
        <v>63</v>
      </c>
      <c r="E123" s="40" t="s">
        <v>79</v>
      </c>
      <c r="F123" s="39" t="s">
        <v>78</v>
      </c>
      <c r="G123" s="39" t="s">
        <v>77</v>
      </c>
      <c r="H123" s="39">
        <v>2023</v>
      </c>
      <c r="I123" s="49">
        <v>2024</v>
      </c>
      <c r="J123" s="39" t="s">
        <v>95</v>
      </c>
      <c r="K123" s="39" t="s">
        <v>94</v>
      </c>
      <c r="L123" s="39">
        <v>5132894</v>
      </c>
      <c r="M123" s="38">
        <v>52281.388500000001</v>
      </c>
      <c r="N123" s="43">
        <v>44913.440000000002</v>
      </c>
      <c r="O123" s="43">
        <f>Tabela1[[#This Row],[FRANQUIA AON-HDI]]-Tabela1[[#This Row],[FRANQUIA INTERBROK - SURA]]</f>
        <v>7367.9484999999986</v>
      </c>
      <c r="P123" s="35" t="s">
        <v>13</v>
      </c>
    </row>
    <row r="124" spans="1:16" x14ac:dyDescent="0.3">
      <c r="A124" s="39">
        <v>27</v>
      </c>
      <c r="B124" s="39" t="s">
        <v>65</v>
      </c>
      <c r="C124" s="41" t="s">
        <v>64</v>
      </c>
      <c r="D124" s="41" t="s">
        <v>63</v>
      </c>
      <c r="E124" s="40" t="s">
        <v>79</v>
      </c>
      <c r="F124" s="39" t="s">
        <v>78</v>
      </c>
      <c r="G124" s="39" t="s">
        <v>77</v>
      </c>
      <c r="H124" s="39">
        <v>2023</v>
      </c>
      <c r="I124" s="49">
        <v>2024</v>
      </c>
      <c r="J124" s="39" t="s">
        <v>93</v>
      </c>
      <c r="K124" s="39" t="s">
        <v>92</v>
      </c>
      <c r="L124" s="39">
        <v>5132894</v>
      </c>
      <c r="M124" s="38">
        <v>52281.388500000001</v>
      </c>
      <c r="N124" s="43">
        <v>44913.440000000002</v>
      </c>
      <c r="O124" s="43">
        <f>Tabela1[[#This Row],[FRANQUIA AON-HDI]]-Tabela1[[#This Row],[FRANQUIA INTERBROK - SURA]]</f>
        <v>7367.9484999999986</v>
      </c>
      <c r="P124" s="35" t="s">
        <v>13</v>
      </c>
    </row>
    <row r="125" spans="1:16" x14ac:dyDescent="0.3">
      <c r="A125" s="39">
        <v>28</v>
      </c>
      <c r="B125" s="39" t="s">
        <v>65</v>
      </c>
      <c r="C125" s="41" t="s">
        <v>64</v>
      </c>
      <c r="D125" s="41" t="s">
        <v>63</v>
      </c>
      <c r="E125" s="40" t="s">
        <v>79</v>
      </c>
      <c r="F125" s="39" t="s">
        <v>78</v>
      </c>
      <c r="G125" s="39" t="s">
        <v>77</v>
      </c>
      <c r="H125" s="39">
        <v>2023</v>
      </c>
      <c r="I125" s="49">
        <v>2024</v>
      </c>
      <c r="J125" s="39" t="s">
        <v>91</v>
      </c>
      <c r="K125" s="39" t="s">
        <v>90</v>
      </c>
      <c r="L125" s="39">
        <v>5132894</v>
      </c>
      <c r="M125" s="38">
        <v>52281.388500000001</v>
      </c>
      <c r="N125" s="43">
        <v>44913.440000000002</v>
      </c>
      <c r="O125" s="43">
        <f>Tabela1[[#This Row],[FRANQUIA AON-HDI]]-Tabela1[[#This Row],[FRANQUIA INTERBROK - SURA]]</f>
        <v>7367.9484999999986</v>
      </c>
      <c r="P125" s="35" t="s">
        <v>13</v>
      </c>
    </row>
    <row r="126" spans="1:16" x14ac:dyDescent="0.3">
      <c r="A126" s="39">
        <v>29</v>
      </c>
      <c r="B126" s="39" t="s">
        <v>65</v>
      </c>
      <c r="C126" s="41" t="s">
        <v>64</v>
      </c>
      <c r="D126" s="41" t="s">
        <v>63</v>
      </c>
      <c r="E126" s="40" t="s">
        <v>79</v>
      </c>
      <c r="F126" s="39" t="s">
        <v>78</v>
      </c>
      <c r="G126" s="39" t="s">
        <v>77</v>
      </c>
      <c r="H126" s="39">
        <v>2023</v>
      </c>
      <c r="I126" s="49">
        <v>2024</v>
      </c>
      <c r="J126" s="39" t="s">
        <v>89</v>
      </c>
      <c r="K126" s="39" t="s">
        <v>88</v>
      </c>
      <c r="L126" s="39">
        <v>5132894</v>
      </c>
      <c r="M126" s="38">
        <v>52281.388500000001</v>
      </c>
      <c r="N126" s="43">
        <v>44913.440000000002</v>
      </c>
      <c r="O126" s="43">
        <f>Tabela1[[#This Row],[FRANQUIA AON-HDI]]-Tabela1[[#This Row],[FRANQUIA INTERBROK - SURA]]</f>
        <v>7367.9484999999986</v>
      </c>
      <c r="P126" s="35" t="s">
        <v>13</v>
      </c>
    </row>
    <row r="127" spans="1:16" x14ac:dyDescent="0.3">
      <c r="A127" s="39">
        <v>30</v>
      </c>
      <c r="B127" s="39" t="s">
        <v>65</v>
      </c>
      <c r="C127" s="41" t="s">
        <v>64</v>
      </c>
      <c r="D127" s="41" t="s">
        <v>63</v>
      </c>
      <c r="E127" s="40" t="s">
        <v>79</v>
      </c>
      <c r="F127" s="39" t="s">
        <v>78</v>
      </c>
      <c r="G127" s="39" t="s">
        <v>77</v>
      </c>
      <c r="H127" s="39">
        <v>2023</v>
      </c>
      <c r="I127" s="49">
        <v>2024</v>
      </c>
      <c r="J127" s="39" t="s">
        <v>87</v>
      </c>
      <c r="K127" s="39" t="s">
        <v>86</v>
      </c>
      <c r="L127" s="39">
        <v>5132894</v>
      </c>
      <c r="M127" s="38">
        <v>52281.388500000001</v>
      </c>
      <c r="N127" s="43">
        <v>44913.440000000002</v>
      </c>
      <c r="O127" s="43">
        <f>Tabela1[[#This Row],[FRANQUIA AON-HDI]]-Tabela1[[#This Row],[FRANQUIA INTERBROK - SURA]]</f>
        <v>7367.9484999999986</v>
      </c>
      <c r="P127" s="35" t="s">
        <v>13</v>
      </c>
    </row>
    <row r="128" spans="1:16" x14ac:dyDescent="0.3">
      <c r="A128" s="39">
        <v>31</v>
      </c>
      <c r="B128" s="39" t="s">
        <v>65</v>
      </c>
      <c r="C128" s="41" t="s">
        <v>64</v>
      </c>
      <c r="D128" s="41" t="s">
        <v>63</v>
      </c>
      <c r="E128" s="40" t="s">
        <v>79</v>
      </c>
      <c r="F128" s="39" t="s">
        <v>78</v>
      </c>
      <c r="G128" s="39" t="s">
        <v>77</v>
      </c>
      <c r="H128" s="39">
        <v>2023</v>
      </c>
      <c r="I128" s="49">
        <v>2024</v>
      </c>
      <c r="J128" s="39" t="s">
        <v>85</v>
      </c>
      <c r="K128" s="39" t="s">
        <v>84</v>
      </c>
      <c r="L128" s="39">
        <v>5132894</v>
      </c>
      <c r="M128" s="38">
        <v>52281.388500000001</v>
      </c>
      <c r="N128" s="43">
        <v>44913.440000000002</v>
      </c>
      <c r="O128" s="43">
        <f>Tabela1[[#This Row],[FRANQUIA AON-HDI]]-Tabela1[[#This Row],[FRANQUIA INTERBROK - SURA]]</f>
        <v>7367.9484999999986</v>
      </c>
      <c r="P128" s="35" t="s">
        <v>13</v>
      </c>
    </row>
    <row r="129" spans="1:16" x14ac:dyDescent="0.3">
      <c r="A129" s="39">
        <v>32</v>
      </c>
      <c r="B129" s="39" t="s">
        <v>65</v>
      </c>
      <c r="C129" s="41" t="s">
        <v>64</v>
      </c>
      <c r="D129" s="41" t="s">
        <v>63</v>
      </c>
      <c r="E129" s="40" t="s">
        <v>79</v>
      </c>
      <c r="F129" s="39" t="s">
        <v>78</v>
      </c>
      <c r="G129" s="39" t="s">
        <v>77</v>
      </c>
      <c r="H129" s="39">
        <v>2023</v>
      </c>
      <c r="I129" s="49">
        <v>2024</v>
      </c>
      <c r="J129" s="39" t="s">
        <v>83</v>
      </c>
      <c r="K129" s="39" t="s">
        <v>82</v>
      </c>
      <c r="L129" s="39">
        <v>5132894</v>
      </c>
      <c r="M129" s="38">
        <v>52281.388500000001</v>
      </c>
      <c r="N129" s="43">
        <v>44913.440000000002</v>
      </c>
      <c r="O129" s="43">
        <f>Tabela1[[#This Row],[FRANQUIA AON-HDI]]-Tabela1[[#This Row],[FRANQUIA INTERBROK - SURA]]</f>
        <v>7367.9484999999986</v>
      </c>
      <c r="P129" s="35" t="s">
        <v>13</v>
      </c>
    </row>
    <row r="130" spans="1:16" x14ac:dyDescent="0.3">
      <c r="A130" s="39">
        <v>33</v>
      </c>
      <c r="B130" s="39" t="s">
        <v>65</v>
      </c>
      <c r="C130" s="41" t="s">
        <v>64</v>
      </c>
      <c r="D130" s="41" t="s">
        <v>63</v>
      </c>
      <c r="E130" s="40" t="s">
        <v>79</v>
      </c>
      <c r="F130" s="39" t="s">
        <v>78</v>
      </c>
      <c r="G130" s="39" t="s">
        <v>77</v>
      </c>
      <c r="H130" s="39">
        <v>2023</v>
      </c>
      <c r="I130" s="49">
        <v>2024</v>
      </c>
      <c r="J130" s="39" t="s">
        <v>81</v>
      </c>
      <c r="K130" s="39" t="s">
        <v>80</v>
      </c>
      <c r="L130" s="39">
        <v>5132894</v>
      </c>
      <c r="M130" s="38">
        <v>52281.388500000001</v>
      </c>
      <c r="N130" s="43">
        <v>44913.440000000002</v>
      </c>
      <c r="O130" s="43">
        <f>Tabela1[[#This Row],[FRANQUIA AON-HDI]]-Tabela1[[#This Row],[FRANQUIA INTERBROK - SURA]]</f>
        <v>7367.9484999999986</v>
      </c>
      <c r="P130" s="35" t="s">
        <v>13</v>
      </c>
    </row>
    <row r="131" spans="1:16" x14ac:dyDescent="0.3">
      <c r="A131" s="39">
        <v>34</v>
      </c>
      <c r="B131" s="39" t="s">
        <v>65</v>
      </c>
      <c r="C131" s="41" t="s">
        <v>64</v>
      </c>
      <c r="D131" s="41" t="s">
        <v>63</v>
      </c>
      <c r="E131" s="40" t="s">
        <v>79</v>
      </c>
      <c r="F131" s="39" t="s">
        <v>78</v>
      </c>
      <c r="G131" s="39" t="s">
        <v>77</v>
      </c>
      <c r="H131" s="39">
        <v>2023</v>
      </c>
      <c r="I131" s="49">
        <v>2024</v>
      </c>
      <c r="J131" s="39" t="s">
        <v>76</v>
      </c>
      <c r="K131" s="39" t="s">
        <v>75</v>
      </c>
      <c r="L131" s="39">
        <v>5132894</v>
      </c>
      <c r="M131" s="38">
        <v>52281.388500000001</v>
      </c>
      <c r="N131" s="43">
        <v>44913.440000000002</v>
      </c>
      <c r="O131" s="43">
        <f>Tabela1[[#This Row],[FRANQUIA AON-HDI]]-Tabela1[[#This Row],[FRANQUIA INTERBROK - SURA]]</f>
        <v>7367.9484999999986</v>
      </c>
      <c r="P131" s="35" t="s">
        <v>13</v>
      </c>
    </row>
    <row r="132" spans="1:16" x14ac:dyDescent="0.3">
      <c r="A132" s="39">
        <v>122</v>
      </c>
      <c r="B132" s="48" t="s">
        <v>74</v>
      </c>
      <c r="C132" s="41" t="s">
        <v>64</v>
      </c>
      <c r="D132" s="41" t="s">
        <v>73</v>
      </c>
      <c r="E132" s="40" t="s">
        <v>72</v>
      </c>
      <c r="F132" s="47" t="s">
        <v>71</v>
      </c>
      <c r="G132" s="47" t="s">
        <v>70</v>
      </c>
      <c r="H132" s="46">
        <v>2024</v>
      </c>
      <c r="I132" s="46">
        <v>2024</v>
      </c>
      <c r="J132" s="46" t="s">
        <v>69</v>
      </c>
      <c r="K132" s="46" t="s">
        <v>68</v>
      </c>
      <c r="L132" s="46">
        <v>20150</v>
      </c>
      <c r="M132" s="45">
        <v>22250.25</v>
      </c>
      <c r="N132" s="43">
        <v>12500</v>
      </c>
      <c r="O132" s="42">
        <f>Tabela1[[#This Row],[FRANQUIA AON-HDI]]-Tabela1[[#This Row],[FRANQUIA INTERBROK - SURA]]</f>
        <v>9750.25</v>
      </c>
      <c r="P132" s="35" t="s">
        <v>13</v>
      </c>
    </row>
    <row r="133" spans="1:16" x14ac:dyDescent="0.3">
      <c r="A133" s="39">
        <v>1</v>
      </c>
      <c r="B133" s="39" t="s">
        <v>65</v>
      </c>
      <c r="C133" s="41" t="s">
        <v>64</v>
      </c>
      <c r="D133" s="41" t="s">
        <v>63</v>
      </c>
      <c r="E133" s="40" t="s">
        <v>62</v>
      </c>
      <c r="F133" s="39" t="s">
        <v>61</v>
      </c>
      <c r="G133" s="39" t="s">
        <v>60</v>
      </c>
      <c r="H133" s="39">
        <v>2022</v>
      </c>
      <c r="I133" s="39">
        <v>2022</v>
      </c>
      <c r="J133" s="39" t="s">
        <v>67</v>
      </c>
      <c r="K133" s="39" t="s">
        <v>66</v>
      </c>
      <c r="L133" s="39">
        <v>5300258</v>
      </c>
      <c r="M133" s="44">
        <v>51576.131700000005</v>
      </c>
      <c r="N133" s="43">
        <v>31792.6</v>
      </c>
      <c r="O133" s="42">
        <f>Tabela1[[#This Row],[FRANQUIA AON-HDI]]-Tabela1[[#This Row],[FRANQUIA INTERBROK - SURA]]</f>
        <v>19783.531700000007</v>
      </c>
      <c r="P133" s="35" t="s">
        <v>13</v>
      </c>
    </row>
    <row r="134" spans="1:16" ht="14.4" thickBot="1" x14ac:dyDescent="0.35">
      <c r="A134" s="39">
        <v>2</v>
      </c>
      <c r="B134" s="39" t="s">
        <v>65</v>
      </c>
      <c r="C134" s="41" t="s">
        <v>64</v>
      </c>
      <c r="D134" s="41" t="s">
        <v>63</v>
      </c>
      <c r="E134" s="40" t="s">
        <v>62</v>
      </c>
      <c r="F134" s="39" t="s">
        <v>61</v>
      </c>
      <c r="G134" s="39" t="s">
        <v>60</v>
      </c>
      <c r="H134" s="39">
        <v>2022</v>
      </c>
      <c r="I134" s="39">
        <v>2022</v>
      </c>
      <c r="J134" s="39" t="s">
        <v>59</v>
      </c>
      <c r="K134" s="39" t="s">
        <v>58</v>
      </c>
      <c r="L134" s="39">
        <v>5300258</v>
      </c>
      <c r="M134" s="38">
        <v>51576.131700000005</v>
      </c>
      <c r="N134" s="37">
        <v>31792.6</v>
      </c>
      <c r="O134" s="36">
        <f>Tabela1[[#This Row],[FRANQUIA AON-HDI]]-Tabela1[[#This Row],[FRANQUIA INTERBROK - SURA]]</f>
        <v>19783.531700000007</v>
      </c>
      <c r="P134" s="35" t="s">
        <v>13</v>
      </c>
    </row>
    <row r="135" spans="1:16" ht="14.4" thickTop="1" x14ac:dyDescent="0.3">
      <c r="A135" s="77"/>
      <c r="B135" s="77"/>
      <c r="C135" s="77"/>
      <c r="D135" s="78"/>
      <c r="E135" s="77"/>
      <c r="F135" s="79"/>
      <c r="G135" s="79"/>
      <c r="H135" s="80"/>
      <c r="I135" s="80"/>
      <c r="J135" s="80"/>
      <c r="K135" s="80"/>
      <c r="L135" s="80"/>
      <c r="M135" s="81"/>
      <c r="N135" s="82" t="s">
        <v>451</v>
      </c>
      <c r="O135" s="83"/>
      <c r="P135" s="84"/>
    </row>
    <row r="137" spans="1:16" x14ac:dyDescent="0.3">
      <c r="M137" s="29"/>
      <c r="N137" s="29"/>
      <c r="O137" s="29"/>
    </row>
    <row r="138" spans="1:16" x14ac:dyDescent="0.3">
      <c r="M138" s="33"/>
      <c r="N138" s="33"/>
      <c r="O138" s="33"/>
    </row>
    <row r="139" spans="1:16" x14ac:dyDescent="0.3">
      <c r="M139" s="34" t="s">
        <v>57</v>
      </c>
      <c r="N139" s="34"/>
      <c r="O139" s="34"/>
    </row>
    <row r="140" spans="1:16" x14ac:dyDescent="0.3">
      <c r="M140" s="33"/>
      <c r="N140" s="33"/>
      <c r="O140" s="33"/>
    </row>
  </sheetData>
  <mergeCells count="4">
    <mergeCell ref="A3:O3"/>
    <mergeCell ref="A4:K4"/>
    <mergeCell ref="M4:O4"/>
    <mergeCell ref="A1:O2"/>
  </mergeCells>
  <conditionalFormatting sqref="J8:K8">
    <cfRule type="duplicateValues" dxfId="5" priority="3"/>
    <cfRule type="duplicateValues" dxfId="4" priority="4"/>
  </conditionalFormatting>
  <conditionalFormatting sqref="J9:K9">
    <cfRule type="duplicateValues" dxfId="3" priority="1"/>
    <cfRule type="duplicateValues" dxfId="2" priority="2"/>
  </conditionalFormatting>
  <conditionalFormatting sqref="J135:L1048576 J3:L5 J6:K7 J10:K134">
    <cfRule type="duplicateValues" dxfId="1" priority="5"/>
    <cfRule type="duplicateValues" dxfId="0" priority="6"/>
  </conditionalFormatting>
  <printOptions gridLinesSet="0"/>
  <pageMargins left="0" right="0" top="0.59055118110236227" bottom="0.47244094488188981" header="0" footer="0"/>
  <pageSetup scale="35" fitToHeight="0" orientation="landscape" horizontalDpi="300" verticalDpi="300" r:id="rId1"/>
  <headerFooter alignWithMargins="0">
    <oddHeader>&amp;L&amp;F&amp;CPage &amp;P of &amp;N</oddHeader>
  </headerFooter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5F378-DB3C-4808-AECD-274724597561}">
  <dimension ref="A1"/>
  <sheetViews>
    <sheetView workbookViewId="0">
      <selection activeCell="G17" sqref="G17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E38237EF4B9EF4085BB59D16DFCB125" ma:contentTypeVersion="17" ma:contentTypeDescription="Crie um novo documento." ma:contentTypeScope="" ma:versionID="ce16c038d207c96c0a4341e583d934e8">
  <xsd:schema xmlns:xsd="http://www.w3.org/2001/XMLSchema" xmlns:xs="http://www.w3.org/2001/XMLSchema" xmlns:p="http://schemas.microsoft.com/office/2006/metadata/properties" xmlns:ns2="44078e00-246c-4077-ab60-4864429b1d2d" xmlns:ns3="cdb32a9b-5cd5-4ddc-a351-94c14d9afd64" targetNamespace="http://schemas.microsoft.com/office/2006/metadata/properties" ma:root="true" ma:fieldsID="d1e59fed3fc16d88944905ed97dd29bb" ns2:_="" ns3:_="">
    <xsd:import namespace="44078e00-246c-4077-ab60-4864429b1d2d"/>
    <xsd:import namespace="cdb32a9b-5cd5-4ddc-a351-94c14d9afd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078e00-246c-4077-ab60-4864429b1d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c408ccd6-49eb-4b0a-a838-39d3014781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b32a9b-5cd5-4ddc-a351-94c14d9afd6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b07d5b7-e048-4b11-913f-fa810d8830c2}" ma:internalName="TaxCatchAll" ma:showField="CatchAllData" ma:web="cdb32a9b-5cd5-4ddc-a351-94c14d9afd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4078e00-246c-4077-ab60-4864429b1d2d">
      <Terms xmlns="http://schemas.microsoft.com/office/infopath/2007/PartnerControls"/>
    </lcf76f155ced4ddcb4097134ff3c332f>
    <TaxCatchAll xmlns="cdb32a9b-5cd5-4ddc-a351-94c14d9afd64" xsi:nil="true"/>
  </documentManagement>
</p:properties>
</file>

<file path=customXml/itemProps1.xml><?xml version="1.0" encoding="utf-8"?>
<ds:datastoreItem xmlns:ds="http://schemas.openxmlformats.org/officeDocument/2006/customXml" ds:itemID="{725F9DA0-85C9-408D-AD40-B44EAC52B957}"/>
</file>

<file path=customXml/itemProps2.xml><?xml version="1.0" encoding="utf-8"?>
<ds:datastoreItem xmlns:ds="http://schemas.openxmlformats.org/officeDocument/2006/customXml" ds:itemID="{74427717-4B9A-4657-9BCE-8367085982D9}"/>
</file>

<file path=customXml/itemProps3.xml><?xml version="1.0" encoding="utf-8"?>
<ds:datastoreItem xmlns:ds="http://schemas.openxmlformats.org/officeDocument/2006/customXml" ds:itemID="{E4AF7EC1-C018-439B-B770-6C63124478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BID</vt:lpstr>
      <vt:lpstr>COMPARATIVO SEGURADORA </vt:lpstr>
      <vt:lpstr>propostas</vt:lpstr>
      <vt:lpstr>COMPARATIVO DE FRANQUIAS</vt:lpstr>
      <vt:lpstr>COMPARATIVO DE FRANQUIA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ALEF</dc:creator>
  <cp:keywords/>
  <dc:description/>
  <cp:lastModifiedBy>Altemar Bernardes Campos</cp:lastModifiedBy>
  <cp:revision/>
  <dcterms:created xsi:type="dcterms:W3CDTF">2023-02-16T12:44:24Z</dcterms:created>
  <dcterms:modified xsi:type="dcterms:W3CDTF">2026-09-16T18:05:44Z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0x0101008E38237EF4B9EF4085BB59D16DFCB125</vt:lpwstr>
  </property>
</Properties>
</file>